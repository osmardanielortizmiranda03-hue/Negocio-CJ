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463e7e6710c11b9a/Algoritmos/negocio de CJ/"/>
    </mc:Choice>
  </mc:AlternateContent>
  <xr:revisionPtr revIDLastSave="35" documentId="11_6FEF09247D2DE7EAAE0E143F64DE01DD4E1F9209" xr6:coauthVersionLast="47" xr6:coauthVersionMax="47" xr10:uidLastSave="{44FCB161-1329-4D5D-90EC-1EB1BC36BC62}"/>
  <bookViews>
    <workbookView xWindow="-108" yWindow="-108" windowWidth="23256" windowHeight="12456" tabRatio="500" activeTab="1" xr2:uid="{00000000-000D-0000-FFFF-FFFF00000000}"/>
  </bookViews>
  <sheets>
    <sheet name="Ventas" sheetId="1" r:id="rId1"/>
    <sheet name="Resumen" sheetId="2" r:id="rId2"/>
    <sheet name="Compras y Pendientes" sheetId="3" r:id="rId3"/>
    <sheet name="Gasto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7" i="2" l="1"/>
  <c r="B25" i="2"/>
  <c r="B24" i="2"/>
  <c r="B125" i="2"/>
  <c r="B121" i="2"/>
  <c r="B33" i="2" l="1"/>
  <c r="B43" i="2"/>
  <c r="B44" i="2"/>
  <c r="D301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B143" i="2" s="1"/>
  <c r="E202" i="3"/>
  <c r="E201" i="3"/>
  <c r="B127" i="2"/>
  <c r="B126" i="2"/>
  <c r="B124" i="2"/>
  <c r="B123" i="2"/>
  <c r="B122" i="2"/>
  <c r="B120" i="2"/>
  <c r="B114" i="2"/>
  <c r="A49" i="2"/>
  <c r="A50" i="2" s="1"/>
  <c r="C42" i="2"/>
  <c r="B42" i="2"/>
  <c r="C41" i="2"/>
  <c r="B41" i="2"/>
  <c r="C40" i="2"/>
  <c r="B40" i="2"/>
  <c r="C39" i="2"/>
  <c r="B39" i="2"/>
  <c r="B38" i="2"/>
  <c r="B36" i="2"/>
  <c r="C35" i="2"/>
  <c r="B35" i="2"/>
  <c r="B34" i="2"/>
  <c r="B32" i="2"/>
  <c r="B31" i="2"/>
  <c r="B30" i="2"/>
  <c r="B29" i="2"/>
  <c r="C28" i="2"/>
  <c r="B28" i="2"/>
  <c r="B27" i="2"/>
  <c r="C26" i="2"/>
  <c r="B26" i="2"/>
  <c r="B23" i="2"/>
  <c r="B22" i="2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C37" i="2" s="1"/>
  <c r="G15" i="1"/>
  <c r="F15" i="1"/>
  <c r="G14" i="1"/>
  <c r="F14" i="1"/>
  <c r="G13" i="1"/>
  <c r="F13" i="1"/>
  <c r="C32" i="2" s="1"/>
  <c r="G12" i="1"/>
  <c r="F12" i="1"/>
  <c r="G11" i="1"/>
  <c r="F11" i="1"/>
  <c r="G10" i="1"/>
  <c r="F10" i="1"/>
  <c r="G9" i="1"/>
  <c r="F9" i="1"/>
  <c r="G8" i="1"/>
  <c r="F8" i="1"/>
  <c r="C44" i="2" s="1"/>
  <c r="G7" i="1"/>
  <c r="F7" i="1"/>
  <c r="G6" i="1"/>
  <c r="F6" i="1"/>
  <c r="C36" i="2" s="1"/>
  <c r="G5" i="1"/>
  <c r="F5" i="1"/>
  <c r="C25" i="2" s="1"/>
  <c r="G4" i="1"/>
  <c r="F4" i="1"/>
  <c r="C24" i="2" s="1"/>
  <c r="G3" i="1"/>
  <c r="F3" i="1"/>
  <c r="G2" i="1"/>
  <c r="F2" i="1"/>
  <c r="C31" i="2" s="1"/>
  <c r="C33" i="2"/>
  <c r="C22" i="2"/>
  <c r="C30" i="2"/>
  <c r="C43" i="2"/>
  <c r="C38" i="2"/>
  <c r="C27" i="2"/>
  <c r="C23" i="2"/>
  <c r="C34" i="2"/>
  <c r="B133" i="2" l="1"/>
  <c r="B142" i="2"/>
  <c r="B128" i="2"/>
  <c r="B8" i="2"/>
  <c r="B113" i="2"/>
  <c r="B115" i="2" s="1"/>
  <c r="B18" i="2"/>
  <c r="B17" i="2"/>
  <c r="C29" i="2"/>
  <c r="C45" i="2" s="1"/>
  <c r="B45" i="2"/>
  <c r="B49" i="2"/>
  <c r="C49" i="2" s="1"/>
  <c r="A51" i="2"/>
  <c r="B50" i="2"/>
  <c r="C50" i="2" s="1"/>
  <c r="B144" i="2"/>
  <c r="B3" i="2"/>
  <c r="B7" i="2"/>
  <c r="B9" i="2"/>
  <c r="B134" i="2"/>
  <c r="B10" i="2"/>
  <c r="B135" i="2"/>
  <c r="B11" i="2"/>
  <c r="B136" i="2"/>
  <c r="B12" i="2"/>
  <c r="B137" i="2"/>
  <c r="B13" i="2"/>
  <c r="B138" i="2"/>
  <c r="B14" i="2"/>
  <c r="B139" i="2"/>
  <c r="B15" i="2"/>
  <c r="B140" i="2"/>
  <c r="B16" i="2"/>
  <c r="B141" i="2"/>
  <c r="B51" i="2" l="1"/>
  <c r="C51" i="2" s="1"/>
  <c r="A52" i="2"/>
  <c r="A53" i="2" l="1"/>
  <c r="B52" i="2"/>
  <c r="C52" i="2" s="1"/>
  <c r="A54" i="2" l="1"/>
  <c r="B53" i="2"/>
  <c r="C53" i="2" s="1"/>
  <c r="A55" i="2" l="1"/>
  <c r="B54" i="2"/>
  <c r="C54" i="2" s="1"/>
  <c r="A56" i="2" l="1"/>
  <c r="B55" i="2"/>
  <c r="C55" i="2" s="1"/>
  <c r="A57" i="2" l="1"/>
  <c r="B56" i="2"/>
  <c r="C56" i="2" s="1"/>
  <c r="B57" i="2" l="1"/>
  <c r="C57" i="2" s="1"/>
  <c r="A58" i="2"/>
  <c r="A59" i="2" l="1"/>
  <c r="B58" i="2"/>
  <c r="C58" i="2" s="1"/>
  <c r="B59" i="2" l="1"/>
  <c r="C59" i="2" s="1"/>
  <c r="A60" i="2"/>
  <c r="A61" i="2" l="1"/>
  <c r="B60" i="2"/>
  <c r="C60" i="2" s="1"/>
  <c r="A62" i="2" l="1"/>
  <c r="B61" i="2"/>
  <c r="C61" i="2" s="1"/>
  <c r="B62" i="2" l="1"/>
  <c r="C62" i="2" s="1"/>
  <c r="A63" i="2"/>
  <c r="B63" i="2" l="1"/>
  <c r="C63" i="2" s="1"/>
  <c r="A64" i="2"/>
  <c r="A65" i="2" l="1"/>
  <c r="B64" i="2"/>
  <c r="C64" i="2" s="1"/>
  <c r="A66" i="2" l="1"/>
  <c r="B65" i="2"/>
  <c r="C65" i="2" s="1"/>
  <c r="A67" i="2" l="1"/>
  <c r="B66" i="2"/>
  <c r="C66" i="2" s="1"/>
  <c r="B67" i="2" l="1"/>
  <c r="C67" i="2" s="1"/>
  <c r="A68" i="2"/>
  <c r="A69" i="2" l="1"/>
  <c r="B68" i="2"/>
  <c r="C68" i="2" s="1"/>
  <c r="A70" i="2" l="1"/>
  <c r="B69" i="2"/>
  <c r="C69" i="2" s="1"/>
  <c r="A71" i="2" l="1"/>
  <c r="B70" i="2"/>
  <c r="C70" i="2" s="1"/>
  <c r="A72" i="2" l="1"/>
  <c r="B71" i="2"/>
  <c r="C71" i="2" s="1"/>
  <c r="A73" i="2" l="1"/>
  <c r="B72" i="2"/>
  <c r="C72" i="2" s="1"/>
  <c r="A74" i="2" l="1"/>
  <c r="B73" i="2"/>
  <c r="C73" i="2" s="1"/>
  <c r="A75" i="2" l="1"/>
  <c r="B74" i="2"/>
  <c r="C74" i="2" s="1"/>
  <c r="B75" i="2" l="1"/>
  <c r="C75" i="2" s="1"/>
  <c r="A76" i="2"/>
  <c r="A77" i="2" l="1"/>
  <c r="B76" i="2"/>
  <c r="C76" i="2" s="1"/>
  <c r="A78" i="2" l="1"/>
  <c r="B77" i="2"/>
  <c r="C77" i="2" s="1"/>
  <c r="B78" i="2" l="1"/>
  <c r="C78" i="2" s="1"/>
  <c r="A79" i="2"/>
  <c r="B79" i="2" l="1"/>
  <c r="C79" i="2" s="1"/>
  <c r="A80" i="2"/>
  <c r="A81" i="2" l="1"/>
  <c r="B80" i="2"/>
  <c r="C80" i="2" s="1"/>
  <c r="A82" i="2" l="1"/>
  <c r="B81" i="2"/>
  <c r="C81" i="2" s="1"/>
  <c r="A83" i="2" l="1"/>
  <c r="B82" i="2"/>
  <c r="C82" i="2" s="1"/>
  <c r="B83" i="2" l="1"/>
  <c r="C83" i="2" s="1"/>
  <c r="A84" i="2"/>
  <c r="A85" i="2" l="1"/>
  <c r="B84" i="2"/>
  <c r="C84" i="2" s="1"/>
  <c r="A86" i="2" l="1"/>
  <c r="B85" i="2"/>
  <c r="C85" i="2" s="1"/>
  <c r="A87" i="2" l="1"/>
  <c r="B86" i="2"/>
  <c r="C86" i="2" s="1"/>
  <c r="A88" i="2" l="1"/>
  <c r="B87" i="2"/>
  <c r="C87" i="2" s="1"/>
  <c r="A89" i="2" l="1"/>
  <c r="B88" i="2"/>
  <c r="C88" i="2" s="1"/>
  <c r="A90" i="2" l="1"/>
  <c r="B89" i="2"/>
  <c r="C89" i="2" s="1"/>
  <c r="A91" i="2" l="1"/>
  <c r="B90" i="2"/>
  <c r="C90" i="2" s="1"/>
  <c r="B91" i="2" l="1"/>
  <c r="C91" i="2" s="1"/>
  <c r="A92" i="2"/>
  <c r="A93" i="2" l="1"/>
  <c r="B92" i="2"/>
  <c r="C92" i="2" s="1"/>
  <c r="A94" i="2" l="1"/>
  <c r="B93" i="2"/>
  <c r="C93" i="2" s="1"/>
  <c r="B94" i="2" l="1"/>
  <c r="C94" i="2" s="1"/>
  <c r="A95" i="2"/>
  <c r="B95" i="2" l="1"/>
  <c r="C95" i="2" s="1"/>
  <c r="A96" i="2"/>
  <c r="A97" i="2" l="1"/>
  <c r="B96" i="2"/>
  <c r="C96" i="2" s="1"/>
  <c r="A98" i="2" l="1"/>
  <c r="B97" i="2"/>
  <c r="C97" i="2" s="1"/>
  <c r="A99" i="2" l="1"/>
  <c r="B98" i="2"/>
  <c r="C98" i="2" s="1"/>
  <c r="B99" i="2" l="1"/>
  <c r="C99" i="2" s="1"/>
  <c r="A100" i="2"/>
  <c r="A101" i="2" l="1"/>
  <c r="B100" i="2"/>
  <c r="C100" i="2" s="1"/>
  <c r="A102" i="2" l="1"/>
  <c r="B101" i="2"/>
  <c r="C101" i="2" s="1"/>
  <c r="A103" i="2" l="1"/>
  <c r="B102" i="2"/>
  <c r="C102" i="2" s="1"/>
  <c r="A104" i="2" l="1"/>
  <c r="B103" i="2"/>
  <c r="C103" i="2" s="1"/>
  <c r="A105" i="2" l="1"/>
  <c r="B104" i="2"/>
  <c r="C104" i="2" s="1"/>
  <c r="A106" i="2" l="1"/>
  <c r="B105" i="2"/>
  <c r="C105" i="2" s="1"/>
  <c r="A107" i="2" l="1"/>
  <c r="B106" i="2"/>
  <c r="C106" i="2" s="1"/>
  <c r="B107" i="2" l="1"/>
  <c r="C107" i="2" s="1"/>
  <c r="A108" i="2"/>
  <c r="B108" i="2" l="1"/>
  <c r="C108" i="2" s="1"/>
</calcChain>
</file>

<file path=xl/sharedStrings.xml><?xml version="1.0" encoding="utf-8"?>
<sst xmlns="http://schemas.openxmlformats.org/spreadsheetml/2006/main" count="178" uniqueCount="98">
  <si>
    <t>Fecha</t>
  </si>
  <si>
    <t>Producto</t>
  </si>
  <si>
    <t>Talla</t>
  </si>
  <si>
    <t>Cantidad</t>
  </si>
  <si>
    <t>Precio unitario</t>
  </si>
  <si>
    <t>Total venta</t>
  </si>
  <si>
    <t>Mes (auxiliar)</t>
  </si>
  <si>
    <t>Set Negro</t>
  </si>
  <si>
    <t>L</t>
  </si>
  <si>
    <t>Cómo usar esta hoja:</t>
  </si>
  <si>
    <t>Escribe cada venta en una fila nueva (Fecha, Producto, Talla, Cantidad, Precio unitario). La fila 2 es un ejemplo, bórrala o edítala.</t>
  </si>
  <si>
    <t>La columna Total venta se calcula sola.</t>
  </si>
  <si>
    <t>RESUMEN DE VENTAS</t>
  </si>
  <si>
    <t>Total general vendido</t>
  </si>
  <si>
    <t>Ventas por mes</t>
  </si>
  <si>
    <t>Mes</t>
  </si>
  <si>
    <t>Total vendido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</si>
  <si>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</si>
  <si>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</si>
  <si>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</si>
  <si>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</si>
  <si>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</si>
  <si>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</si>
  <si>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</si>
  <si>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</si>
  <si>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</si>
  <si>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</si>
  <si>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</si>
  <si>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</si>
  <si>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Ventas por producto</t>
  </si>
  <si>
    <t>Cantidad vendida</t>
  </si>
  <si>
    <t>Polo negro</t>
  </si>
  <si>
    <t>Polo Blanco</t>
  </si>
  <si>
    <t>Set Rojo</t>
  </si>
  <si>
    <t>Polo + Pantalón</t>
  </si>
  <si>
    <t>Camisa + Pantalón</t>
  </si>
  <si>
    <t>Set Beige</t>
  </si>
  <si>
    <t>Set corto negro</t>
  </si>
  <si>
    <t>Set corto Beige</t>
  </si>
  <si>
    <t>Set Blanco</t>
  </si>
  <si>
    <t>Urbano Fit</t>
  </si>
  <si>
    <t>Set corto Blanco + Beige</t>
  </si>
  <si>
    <t>Polo albaricoque</t>
  </si>
  <si>
    <t>Pantalón caqui</t>
  </si>
  <si>
    <t>Camisetas negro</t>
  </si>
  <si>
    <t>Camisetas Azul oscuro</t>
  </si>
  <si>
    <t>Pantalón negro</t>
  </si>
  <si>
    <t>Camiseta Vinotinto</t>
  </si>
  <si>
    <t>TOTAL</t>
  </si>
  <si>
    <t>Ventas por semana</t>
  </si>
  <si>
    <t>Semana (inicio, lunes)</t>
  </si>
  <si>
    <t>Semana (fin, domingo)</t>
  </si>
  <si>
    <t>Nota: la primera semana empieza el lunes de tu primera venta registrada. Las siguientes 59 semanas se calculan solas.</t>
  </si>
  <si>
    <t>GASTOS Y BALANCE DEL NEGOCIO</t>
  </si>
  <si>
    <t>Total general de ventas</t>
  </si>
  <si>
    <t>Total general de gastos</t>
  </si>
  <si>
    <t>Ganancia neta (Ventas - Gastos)</t>
  </si>
  <si>
    <t>Gastos por categoría</t>
  </si>
  <si>
    <t>Categoría</t>
  </si>
  <si>
    <t>Total gastado</t>
  </si>
  <si>
    <t>Mercancía / Inventario</t>
  </si>
  <si>
    <t>Arriendo</t>
  </si>
  <si>
    <t>Servicios (luz, agua, internet)</t>
  </si>
  <si>
    <t>Transporte</t>
  </si>
  <si>
    <t>Empaques y envíos</t>
  </si>
  <si>
    <t>Publicidad</t>
  </si>
  <si>
    <t>Otros</t>
  </si>
  <si>
    <t>Gastos por mes</t>
  </si>
  <si>
    <t>Estado</t>
  </si>
  <si>
    <t>Descripción</t>
  </si>
  <si>
    <t>Proveedor</t>
  </si>
  <si>
    <t>Costo</t>
  </si>
  <si>
    <t>Notas</t>
  </si>
  <si>
    <t>Total pendiente por comprar</t>
  </si>
  <si>
    <t>Total ya comprado</t>
  </si>
  <si>
    <t>Anota aquí cualquier prenda o insumo que necesites comprar, aunque no tengas el costo exacto todavía. Marca "Pendiente" mientras lo compras y cámbialo a "Comprado" cuando ya lo tengas. La fila 2 es un ejemplo.</t>
  </si>
  <si>
    <t>Monto</t>
  </si>
  <si>
    <t>TOTAL GASTADO</t>
  </si>
  <si>
    <t>Registra aquí cualquier salida de dinero de la cuenta del negocio (compra de mercancía, arriendo, servicios, transporte, etc.). La fila 2 es un ejemplo.</t>
  </si>
  <si>
    <t>Cojunto blanco corto</t>
  </si>
  <si>
    <t>Camiseta Urbana Azul</t>
  </si>
  <si>
    <t>13 Set Corto Negro 1 S - 5 M - 3 L -  3 XL  - 1 XXL</t>
  </si>
  <si>
    <t>Comprado</t>
  </si>
  <si>
    <t>TEMU</t>
  </si>
  <si>
    <t>RENOVAR INVENTARIO</t>
  </si>
  <si>
    <t>9 Set Corto Beige 1 S - 5 M  -  2 XL  - 1 XXL</t>
  </si>
  <si>
    <t>Completar pedido - 9 Set Corto Beige</t>
  </si>
  <si>
    <t xml:space="preserve">Prestamo </t>
  </si>
  <si>
    <t>M</t>
  </si>
  <si>
    <t>Jens Urbano</t>
  </si>
  <si>
    <t>Camiseta Urbana 23</t>
  </si>
  <si>
    <t>Metodo</t>
  </si>
  <si>
    <t>Pago Anticipado</t>
  </si>
  <si>
    <t>Pago Contra-Entrega</t>
  </si>
  <si>
    <t>Pagado</t>
  </si>
  <si>
    <t>No Cancelado</t>
  </si>
  <si>
    <t>Bermudas de Hombres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</si>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</sst>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\$#,##0"/>
  </numFmts>
  <fonts count="18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9"/>
      <color rgb="FF808080"/>
      <name val="Arial"/>
      <charset val="1"/>
    </font>
    <font>
      <sz val="11"/>
      <color rgb="FF0000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i/>
      <sz val="10"/>
      <name val="Arial"/>
      <charset val="1"/>
    </font>
    <font>
      <b/>
      <sz val="14"/>
      <name val="Arial"/>
      <charset val="1"/>
    </font>
    <font>
      <b/>
      <sz val="12"/>
      <name val="Arial"/>
      <charset val="1"/>
    </font>
    <font>
      <i/>
      <sz val="9"/>
      <name val="Arial"/>
      <charset val="1"/>
    </font>
    <font>
      <sz val="11"/>
      <name val="Arial"/>
      <family val="2"/>
    </font>
    <font>
      <sz val="11"/>
      <color rgb="FF0070C0"/>
      <name val="Arial"/>
      <family val="2"/>
    </font>
    <font>
      <sz val="11"/>
      <color rgb="FF0070C0"/>
      <name val="Calibri"/>
      <family val="2"/>
      <charset val="1"/>
    </font>
    <font>
      <sz val="8"/>
      <name val="Calibri"/>
      <family val="2"/>
      <charset val="1"/>
    </font>
    <font>
      <sz val="11"/>
      <color theme="3" tint="-0.499984740745262"/>
      <name val="Arial"/>
      <family val="2"/>
    </font>
    <font>
      <sz val="11"/>
      <color theme="3" tint="-0.499984740745262"/>
      <name val="Calibri"/>
      <family val="2"/>
      <charset val="1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/>
    <xf numFmtId="0" fontId="6" fillId="0" borderId="0" xfId="0" applyFont="1" applyAlignment="1"/>
    <xf numFmtId="165" fontId="5" fillId="0" borderId="0" xfId="0" applyNumberFormat="1" applyFont="1" applyAlignment="1"/>
    <xf numFmtId="0" fontId="8" fillId="0" borderId="0" xfId="0" applyFont="1" applyAlignment="1"/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9" fillId="0" borderId="0" xfId="0" applyFont="1" applyAlignment="1"/>
    <xf numFmtId="0" fontId="7" fillId="0" borderId="0" xfId="0" applyFont="1"/>
    <xf numFmtId="0" fontId="5" fillId="0" borderId="0" xfId="0" applyFont="1"/>
    <xf numFmtId="165" fontId="5" fillId="0" borderId="0" xfId="0" applyNumberFormat="1" applyFont="1"/>
    <xf numFmtId="0" fontId="8" fillId="0" borderId="0" xfId="0" applyFont="1"/>
    <xf numFmtId="0" fontId="4" fillId="0" borderId="1" xfId="0" applyFont="1" applyBorder="1"/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/>
    <xf numFmtId="165" fontId="5" fillId="0" borderId="1" xfId="0" applyNumberFormat="1" applyFont="1" applyBorder="1"/>
    <xf numFmtId="0" fontId="4" fillId="0" borderId="1" xfId="0" applyFont="1" applyBorder="1" applyAlignment="1">
      <alignment horizontal="left" vertical="center" wrapText="1"/>
    </xf>
    <xf numFmtId="0" fontId="2" fillId="0" borderId="0" xfId="0" applyFont="1"/>
    <xf numFmtId="0" fontId="6" fillId="0" borderId="0" xfId="0" applyFont="1"/>
    <xf numFmtId="0" fontId="10" fillId="0" borderId="1" xfId="0" applyFont="1" applyBorder="1" applyAlignment="1"/>
    <xf numFmtId="0" fontId="11" fillId="0" borderId="1" xfId="0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165" fontId="14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5" fillId="0" borderId="0" xfId="0" applyFont="1"/>
    <xf numFmtId="0" fontId="10" fillId="3" borderId="1" xfId="0" applyFont="1" applyFill="1" applyBorder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/>
    <xf numFmtId="0" fontId="4" fillId="4" borderId="1" xfId="0" applyFont="1" applyFill="1" applyBorder="1" applyAlignment="1">
      <alignment horizontal="center" vertical="center"/>
    </xf>
    <xf numFmtId="3" fontId="4" fillId="4" borderId="1" xfId="0" applyNumberFormat="1" applyFont="1" applyFill="1" applyBorder="1" applyAlignment="1">
      <alignment horizontal="center" vertical="center"/>
    </xf>
    <xf numFmtId="0" fontId="0" fillId="4" borderId="0" xfId="0" applyFill="1" applyAlignment="1"/>
    <xf numFmtId="0" fontId="16" fillId="4" borderId="0" xfId="0" applyFont="1" applyFill="1"/>
    <xf numFmtId="0" fontId="4" fillId="4" borderId="1" xfId="0" applyFont="1" applyFill="1" applyBorder="1" applyAlignment="1">
      <alignment horizontal="left" vertical="center"/>
    </xf>
    <xf numFmtId="0" fontId="16" fillId="0" borderId="0" xfId="0" applyFont="1" applyFill="1"/>
    <xf numFmtId="164" fontId="3" fillId="0" borderId="1" xfId="0" applyNumberFormat="1" applyFont="1" applyFill="1" applyBorder="1" applyAlignment="1">
      <alignment horizontal="center" vertical="center"/>
    </xf>
    <xf numFmtId="0" fontId="7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5"/>
  <sheetViews>
    <sheetView zoomScaleNormal="100" workbookViewId="0">
      <pane ySplit="1" topLeftCell="A2" activePane="bottomLeft" state="frozen"/>
      <selection pane="bottomLeft" activeCell="A21" sqref="A21"/>
    </sheetView>
  </sheetViews>
  <sheetFormatPr baseColWidth="10" defaultColWidth="8.6640625" defaultRowHeight="14.4" x14ac:dyDescent="0.3"/>
  <cols>
    <col min="1" max="1" width="14" style="1" customWidth="1"/>
    <col min="2" max="2" width="26" style="1" customWidth="1"/>
    <col min="3" max="3" width="10" style="1" customWidth="1"/>
    <col min="4" max="4" width="12" style="1" customWidth="1"/>
    <col min="5" max="6" width="16" style="1" customWidth="1"/>
    <col min="7" max="7" width="13" style="1" hidden="1" customWidth="1"/>
    <col min="8" max="8" width="20.33203125" customWidth="1"/>
    <col min="9" max="9" width="14.5546875" customWidth="1"/>
  </cols>
  <sheetData>
    <row r="1" spans="1:9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</v>
      </c>
      <c r="H1" s="2" t="s">
        <v>91</v>
      </c>
      <c r="I1" s="43" t="s">
        <v>68</v>
      </c>
    </row>
    <row r="2" spans="1:9" ht="15" customHeight="1" x14ac:dyDescent="0.3">
      <c r="A2" s="3">
        <v>46279</v>
      </c>
      <c r="B2" s="6" t="s">
        <v>7</v>
      </c>
      <c r="C2" s="7" t="s">
        <v>8</v>
      </c>
      <c r="D2" s="7">
        <v>1</v>
      </c>
      <c r="E2" s="4">
        <v>100000</v>
      </c>
      <c r="F2" s="4">
        <f t="shared" ref="F2:F57" si="0">IF(AND(D2&lt;&gt;"",E2&lt;&gt;""),D2*E2,"")</f>
        <v>100000</v>
      </c>
      <c r="G2" s="1">
        <f t="shared" ref="G2:G56" si="1">IF(A2&lt;&gt;"",MONTH(A2),"")</f>
        <v>9</v>
      </c>
      <c r="H2" s="42" t="s">
        <v>92</v>
      </c>
      <c r="I2" s="42" t="s">
        <v>94</v>
      </c>
    </row>
    <row r="3" spans="1:9" ht="15" customHeight="1" x14ac:dyDescent="0.3">
      <c r="A3" s="3">
        <v>46280</v>
      </c>
      <c r="B3" s="6" t="s">
        <v>36</v>
      </c>
      <c r="C3" s="7" t="s">
        <v>88</v>
      </c>
      <c r="D3" s="7">
        <v>1</v>
      </c>
      <c r="E3" s="4">
        <v>100000</v>
      </c>
      <c r="F3" s="4">
        <f t="shared" si="0"/>
        <v>100000</v>
      </c>
      <c r="G3" s="1">
        <f t="shared" si="1"/>
        <v>9</v>
      </c>
      <c r="H3" s="42" t="s">
        <v>92</v>
      </c>
      <c r="I3" s="42" t="s">
        <v>94</v>
      </c>
    </row>
    <row r="4" spans="1:9" ht="15" customHeight="1" x14ac:dyDescent="0.3">
      <c r="A4" s="45">
        <v>46281</v>
      </c>
      <c r="B4" s="46" t="s">
        <v>89</v>
      </c>
      <c r="C4" s="47">
        <v>34</v>
      </c>
      <c r="D4" s="47">
        <v>2</v>
      </c>
      <c r="E4" s="48">
        <v>95000</v>
      </c>
      <c r="F4" s="48">
        <f t="shared" si="0"/>
        <v>190000</v>
      </c>
      <c r="G4" s="49">
        <f t="shared" si="1"/>
        <v>9</v>
      </c>
      <c r="H4" s="50" t="s">
        <v>93</v>
      </c>
      <c r="I4" s="50" t="s">
        <v>95</v>
      </c>
    </row>
    <row r="5" spans="1:9" ht="15" customHeight="1" x14ac:dyDescent="0.3">
      <c r="A5" s="45">
        <v>46281</v>
      </c>
      <c r="B5" s="46" t="s">
        <v>90</v>
      </c>
      <c r="C5" s="47" t="s">
        <v>88</v>
      </c>
      <c r="D5" s="47">
        <v>1</v>
      </c>
      <c r="E5" s="48">
        <v>60000</v>
      </c>
      <c r="F5" s="48">
        <f t="shared" si="0"/>
        <v>60000</v>
      </c>
      <c r="G5" s="49">
        <f t="shared" si="1"/>
        <v>9</v>
      </c>
      <c r="H5" s="50" t="s">
        <v>93</v>
      </c>
      <c r="I5" s="50" t="s">
        <v>95</v>
      </c>
    </row>
    <row r="6" spans="1:9" ht="15" customHeight="1" x14ac:dyDescent="0.3">
      <c r="A6" s="3">
        <v>46282</v>
      </c>
      <c r="B6" s="6" t="s">
        <v>41</v>
      </c>
      <c r="C6" s="44" t="s">
        <v>88</v>
      </c>
      <c r="D6" s="7">
        <v>1</v>
      </c>
      <c r="E6" s="4">
        <v>85000</v>
      </c>
      <c r="F6" s="4">
        <f t="shared" si="0"/>
        <v>85000</v>
      </c>
      <c r="G6" s="1">
        <f t="shared" si="1"/>
        <v>9</v>
      </c>
      <c r="H6" s="42" t="s">
        <v>92</v>
      </c>
      <c r="I6" s="42" t="s">
        <v>94</v>
      </c>
    </row>
    <row r="7" spans="1:9" ht="15" customHeight="1" x14ac:dyDescent="0.3">
      <c r="A7" s="3">
        <v>46282</v>
      </c>
      <c r="B7" s="13" t="s">
        <v>43</v>
      </c>
      <c r="C7" s="7">
        <v>31</v>
      </c>
      <c r="D7" s="7">
        <v>1</v>
      </c>
      <c r="E7" s="4">
        <v>60000</v>
      </c>
      <c r="F7" s="4">
        <f t="shared" si="0"/>
        <v>60000</v>
      </c>
      <c r="G7" s="1">
        <f t="shared" si="1"/>
        <v>9</v>
      </c>
      <c r="H7" s="42" t="s">
        <v>92</v>
      </c>
      <c r="I7" s="42" t="s">
        <v>94</v>
      </c>
    </row>
    <row r="8" spans="1:9" ht="15" customHeight="1" x14ac:dyDescent="0.3">
      <c r="A8" s="3">
        <v>46282</v>
      </c>
      <c r="B8" s="6" t="s">
        <v>47</v>
      </c>
      <c r="C8" s="44" t="s">
        <v>88</v>
      </c>
      <c r="D8" s="7">
        <v>1</v>
      </c>
      <c r="E8" s="4">
        <v>60000</v>
      </c>
      <c r="F8" s="4">
        <f t="shared" si="0"/>
        <v>60000</v>
      </c>
      <c r="G8" s="1">
        <f t="shared" si="1"/>
        <v>9</v>
      </c>
      <c r="H8" s="42" t="s">
        <v>92</v>
      </c>
      <c r="I8" s="42" t="s">
        <v>94</v>
      </c>
    </row>
    <row r="9" spans="1:9" ht="15" customHeight="1" x14ac:dyDescent="0.3">
      <c r="A9" s="45">
        <v>46282</v>
      </c>
      <c r="B9" s="51" t="s">
        <v>37</v>
      </c>
      <c r="C9" s="47" t="s">
        <v>8</v>
      </c>
      <c r="D9" s="47">
        <v>1</v>
      </c>
      <c r="E9" s="48">
        <v>85000</v>
      </c>
      <c r="F9" s="48">
        <f t="shared" si="0"/>
        <v>85000</v>
      </c>
      <c r="G9" s="49">
        <f t="shared" si="1"/>
        <v>9</v>
      </c>
      <c r="H9" s="50" t="s">
        <v>92</v>
      </c>
      <c r="I9" s="50" t="s">
        <v>95</v>
      </c>
    </row>
    <row r="10" spans="1:9" ht="15" customHeight="1" x14ac:dyDescent="0.3">
      <c r="A10" s="53">
        <v>46283</v>
      </c>
      <c r="B10" s="31" t="s">
        <v>31</v>
      </c>
      <c r="C10" s="7" t="s">
        <v>8</v>
      </c>
      <c r="D10" s="7">
        <v>1</v>
      </c>
      <c r="E10" s="4">
        <v>60000</v>
      </c>
      <c r="F10" s="4">
        <f t="shared" si="0"/>
        <v>60000</v>
      </c>
      <c r="G10" s="1">
        <f t="shared" si="1"/>
        <v>9</v>
      </c>
      <c r="H10" s="52" t="s">
        <v>92</v>
      </c>
      <c r="I10" s="52" t="s">
        <v>94</v>
      </c>
    </row>
    <row r="11" spans="1:9" ht="15" customHeight="1" x14ac:dyDescent="0.3">
      <c r="A11" s="53">
        <v>46283</v>
      </c>
      <c r="B11" s="13" t="s">
        <v>35</v>
      </c>
      <c r="C11" s="7" t="s">
        <v>88</v>
      </c>
      <c r="D11" s="7">
        <v>1</v>
      </c>
      <c r="E11" s="4">
        <v>100000</v>
      </c>
      <c r="F11" s="4">
        <f t="shared" si="0"/>
        <v>100000</v>
      </c>
      <c r="G11" s="1">
        <f t="shared" si="1"/>
        <v>9</v>
      </c>
      <c r="H11" s="52" t="s">
        <v>92</v>
      </c>
      <c r="I11" s="52" t="s">
        <v>94</v>
      </c>
    </row>
    <row r="12" spans="1:9" ht="15" customHeight="1" x14ac:dyDescent="0.3">
      <c r="A12" s="53">
        <v>46283</v>
      </c>
      <c r="B12" s="6" t="s">
        <v>44</v>
      </c>
      <c r="C12" s="7" t="s">
        <v>88</v>
      </c>
      <c r="D12" s="7">
        <v>1</v>
      </c>
      <c r="E12" s="4">
        <v>60000</v>
      </c>
      <c r="F12" s="4">
        <f t="shared" si="0"/>
        <v>60000</v>
      </c>
      <c r="G12" s="1">
        <f t="shared" si="1"/>
        <v>9</v>
      </c>
      <c r="H12" s="52" t="s">
        <v>92</v>
      </c>
      <c r="I12" s="52" t="s">
        <v>94</v>
      </c>
    </row>
    <row r="13" spans="1:9" ht="15" customHeight="1" x14ac:dyDescent="0.3">
      <c r="A13" s="53">
        <v>46284</v>
      </c>
      <c r="B13" s="6" t="s">
        <v>38</v>
      </c>
      <c r="C13" s="7" t="s">
        <v>8</v>
      </c>
      <c r="D13" s="7">
        <v>1</v>
      </c>
      <c r="E13" s="4">
        <v>85000</v>
      </c>
      <c r="F13" s="4">
        <f t="shared" si="0"/>
        <v>85000</v>
      </c>
      <c r="G13" s="1">
        <f t="shared" si="1"/>
        <v>9</v>
      </c>
      <c r="H13" s="52" t="s">
        <v>92</v>
      </c>
      <c r="I13" s="52" t="s">
        <v>94</v>
      </c>
    </row>
    <row r="14" spans="1:9" ht="15" customHeight="1" x14ac:dyDescent="0.3">
      <c r="A14" s="53">
        <v>46284</v>
      </c>
      <c r="B14" s="6" t="s">
        <v>43</v>
      </c>
      <c r="C14" s="7">
        <v>30</v>
      </c>
      <c r="D14" s="7">
        <v>1</v>
      </c>
      <c r="E14" s="4">
        <v>60000</v>
      </c>
      <c r="F14" s="4">
        <f t="shared" si="0"/>
        <v>60000</v>
      </c>
      <c r="G14" s="1">
        <f t="shared" si="1"/>
        <v>9</v>
      </c>
      <c r="H14" s="52" t="s">
        <v>92</v>
      </c>
      <c r="I14" s="52" t="s">
        <v>94</v>
      </c>
    </row>
    <row r="15" spans="1:9" ht="15" customHeight="1" x14ac:dyDescent="0.3">
      <c r="A15" s="53">
        <v>46284</v>
      </c>
      <c r="B15" s="6" t="s">
        <v>44</v>
      </c>
      <c r="C15" s="7" t="s">
        <v>88</v>
      </c>
      <c r="D15" s="7">
        <v>1</v>
      </c>
      <c r="E15" s="4">
        <v>60000</v>
      </c>
      <c r="F15" s="4">
        <f t="shared" si="0"/>
        <v>60000</v>
      </c>
      <c r="G15" s="1">
        <f t="shared" si="1"/>
        <v>9</v>
      </c>
      <c r="H15" s="52" t="s">
        <v>92</v>
      </c>
      <c r="I15" s="52" t="s">
        <v>94</v>
      </c>
    </row>
    <row r="16" spans="1:9" ht="15" customHeight="1" x14ac:dyDescent="0.3">
      <c r="A16" s="53">
        <v>46284</v>
      </c>
      <c r="B16" s="6" t="s">
        <v>96</v>
      </c>
      <c r="C16" s="7">
        <v>34</v>
      </c>
      <c r="D16" s="7">
        <v>1</v>
      </c>
      <c r="E16" s="4">
        <v>90000</v>
      </c>
      <c r="F16" s="4">
        <f t="shared" si="0"/>
        <v>90000</v>
      </c>
      <c r="G16" s="1">
        <f t="shared" si="1"/>
        <v>9</v>
      </c>
      <c r="H16" s="52" t="s">
        <v>92</v>
      </c>
      <c r="I16" s="52" t="s">
        <v>94</v>
      </c>
    </row>
    <row r="17" spans="1:7" ht="15" customHeight="1" x14ac:dyDescent="0.3">
      <c r="A17" s="5"/>
      <c r="B17" s="6"/>
      <c r="C17" s="7"/>
      <c r="D17" s="7"/>
      <c r="E17" s="4"/>
      <c r="F17" s="4" t="str">
        <f t="shared" si="0"/>
        <v/>
      </c>
      <c r="G17" s="1" t="str">
        <f t="shared" si="1"/>
        <v/>
      </c>
    </row>
    <row r="18" spans="1:7" ht="15" customHeight="1" x14ac:dyDescent="0.3">
      <c r="A18" s="5"/>
      <c r="B18" s="6"/>
      <c r="C18" s="7"/>
      <c r="D18" s="7"/>
      <c r="E18" s="4"/>
      <c r="F18" s="4" t="str">
        <f t="shared" si="0"/>
        <v/>
      </c>
      <c r="G18" s="1" t="str">
        <f t="shared" si="1"/>
        <v/>
      </c>
    </row>
    <row r="19" spans="1:7" ht="15" customHeight="1" x14ac:dyDescent="0.3">
      <c r="A19" s="5"/>
      <c r="B19" s="6"/>
      <c r="C19" s="7"/>
      <c r="D19" s="7"/>
      <c r="E19" s="4"/>
      <c r="F19" s="4" t="str">
        <f t="shared" si="0"/>
        <v/>
      </c>
      <c r="G19" s="1" t="str">
        <f t="shared" si="1"/>
        <v/>
      </c>
    </row>
    <row r="20" spans="1:7" ht="15" customHeight="1" x14ac:dyDescent="0.3">
      <c r="A20" s="5"/>
      <c r="B20" s="6"/>
      <c r="C20" s="7"/>
      <c r="D20" s="7"/>
      <c r="E20" s="4"/>
      <c r="F20" s="4" t="str">
        <f t="shared" si="0"/>
        <v/>
      </c>
      <c r="G20" s="1" t="str">
        <f t="shared" si="1"/>
        <v/>
      </c>
    </row>
    <row r="21" spans="1:7" ht="15" customHeight="1" x14ac:dyDescent="0.3">
      <c r="A21" s="5" t="s">
        <v>97</v>
      </c>
      <c r="B21" s="6"/>
      <c r="C21" s="7"/>
      <c r="D21" s="7"/>
      <c r="E21" s="4"/>
      <c r="F21" s="4" t="str">
        <f t="shared" si="0"/>
        <v/>
      </c>
      <c r="G21" s="1" t="e">
        <f t="shared" si="1"/>
        <v>#VALUE!</v>
      </c>
    </row>
    <row r="22" spans="1:7" ht="15" customHeight="1" x14ac:dyDescent="0.3">
      <c r="A22" s="5"/>
      <c r="B22" s="6"/>
      <c r="C22" s="7"/>
      <c r="D22" s="7"/>
      <c r="E22" s="4"/>
      <c r="F22" s="4" t="str">
        <f t="shared" si="0"/>
        <v/>
      </c>
      <c r="G22" s="1" t="str">
        <f t="shared" si="1"/>
        <v/>
      </c>
    </row>
    <row r="23" spans="1:7" ht="15" customHeight="1" x14ac:dyDescent="0.3">
      <c r="A23" s="5"/>
      <c r="B23" s="6"/>
      <c r="C23" s="7"/>
      <c r="D23" s="7"/>
      <c r="E23" s="4"/>
      <c r="F23" s="4" t="str">
        <f t="shared" si="0"/>
        <v/>
      </c>
      <c r="G23" s="1" t="str">
        <f t="shared" si="1"/>
        <v/>
      </c>
    </row>
    <row r="24" spans="1:7" ht="15" customHeight="1" x14ac:dyDescent="0.3">
      <c r="A24" s="5"/>
      <c r="B24" s="6"/>
      <c r="C24" s="7"/>
      <c r="D24" s="7"/>
      <c r="E24" s="4"/>
      <c r="F24" s="4" t="str">
        <f t="shared" si="0"/>
        <v/>
      </c>
      <c r="G24" s="1" t="str">
        <f t="shared" si="1"/>
        <v/>
      </c>
    </row>
    <row r="25" spans="1:7" ht="15" customHeight="1" x14ac:dyDescent="0.3">
      <c r="A25" s="5"/>
      <c r="B25" s="6"/>
      <c r="C25" s="7"/>
      <c r="D25" s="7"/>
      <c r="E25" s="4"/>
      <c r="F25" s="4" t="str">
        <f t="shared" si="0"/>
        <v/>
      </c>
      <c r="G25" s="1" t="str">
        <f t="shared" si="1"/>
        <v/>
      </c>
    </row>
    <row r="26" spans="1:7" ht="15" customHeight="1" x14ac:dyDescent="0.3">
      <c r="A26" s="5"/>
      <c r="B26" s="6"/>
      <c r="C26" s="7"/>
      <c r="D26" s="7"/>
      <c r="E26" s="4"/>
      <c r="F26" s="4" t="str">
        <f t="shared" si="0"/>
        <v/>
      </c>
      <c r="G26" s="1" t="str">
        <f t="shared" si="1"/>
        <v/>
      </c>
    </row>
    <row r="27" spans="1:7" ht="15" customHeight="1" x14ac:dyDescent="0.3">
      <c r="A27" s="5"/>
      <c r="B27" s="6"/>
      <c r="C27" s="7"/>
      <c r="D27" s="7"/>
      <c r="E27" s="4"/>
      <c r="F27" s="4" t="str">
        <f t="shared" si="0"/>
        <v/>
      </c>
      <c r="G27" s="1" t="str">
        <f t="shared" si="1"/>
        <v/>
      </c>
    </row>
    <row r="28" spans="1:7" ht="15" customHeight="1" x14ac:dyDescent="0.3">
      <c r="A28" s="5"/>
      <c r="B28" s="6"/>
      <c r="C28" s="7"/>
      <c r="D28" s="7"/>
      <c r="E28" s="4"/>
      <c r="F28" s="4" t="str">
        <f t="shared" si="0"/>
        <v/>
      </c>
      <c r="G28" s="1" t="str">
        <f t="shared" si="1"/>
        <v/>
      </c>
    </row>
    <row r="29" spans="1:7" ht="15" customHeight="1" x14ac:dyDescent="0.3">
      <c r="A29" s="5"/>
      <c r="B29" s="6"/>
      <c r="C29" s="7"/>
      <c r="D29" s="7"/>
      <c r="E29" s="4"/>
      <c r="F29" s="4" t="str">
        <f t="shared" si="0"/>
        <v/>
      </c>
      <c r="G29" s="1" t="str">
        <f t="shared" si="1"/>
        <v/>
      </c>
    </row>
    <row r="30" spans="1:7" ht="15" customHeight="1" x14ac:dyDescent="0.3">
      <c r="A30" s="5"/>
      <c r="B30" s="6"/>
      <c r="C30" s="7"/>
      <c r="D30" s="7"/>
      <c r="E30" s="4"/>
      <c r="F30" s="4" t="str">
        <f t="shared" si="0"/>
        <v/>
      </c>
      <c r="G30" s="1" t="str">
        <f t="shared" si="1"/>
        <v/>
      </c>
    </row>
    <row r="31" spans="1:7" ht="15" customHeight="1" x14ac:dyDescent="0.3">
      <c r="A31" s="5"/>
      <c r="B31" s="6"/>
      <c r="C31" s="7"/>
      <c r="D31" s="7"/>
      <c r="E31" s="4"/>
      <c r="F31" s="4" t="str">
        <f t="shared" si="0"/>
        <v/>
      </c>
      <c r="G31" s="1" t="str">
        <f t="shared" si="1"/>
        <v/>
      </c>
    </row>
    <row r="32" spans="1:7" ht="15" customHeight="1" x14ac:dyDescent="0.3">
      <c r="A32" s="5"/>
      <c r="B32" s="6"/>
      <c r="C32" s="7"/>
      <c r="D32" s="7"/>
      <c r="E32" s="4"/>
      <c r="F32" s="4" t="str">
        <f t="shared" si="0"/>
        <v/>
      </c>
      <c r="G32" s="1" t="str">
        <f t="shared" si="1"/>
        <v/>
      </c>
    </row>
    <row r="33" spans="1:7" ht="15" customHeight="1" x14ac:dyDescent="0.3">
      <c r="A33" s="5"/>
      <c r="B33" s="6"/>
      <c r="C33" s="7"/>
      <c r="D33" s="7"/>
      <c r="E33" s="4"/>
      <c r="F33" s="4" t="str">
        <f t="shared" si="0"/>
        <v/>
      </c>
      <c r="G33" s="1" t="str">
        <f t="shared" si="1"/>
        <v/>
      </c>
    </row>
    <row r="34" spans="1:7" ht="15" customHeight="1" x14ac:dyDescent="0.3">
      <c r="A34" s="5"/>
      <c r="B34" s="6"/>
      <c r="C34" s="7"/>
      <c r="D34" s="7"/>
      <c r="E34" s="4"/>
      <c r="F34" s="4" t="str">
        <f t="shared" si="0"/>
        <v/>
      </c>
      <c r="G34" s="1" t="str">
        <f t="shared" si="1"/>
        <v/>
      </c>
    </row>
    <row r="35" spans="1:7" ht="15" customHeight="1" x14ac:dyDescent="0.3">
      <c r="A35" s="5"/>
      <c r="B35" s="6"/>
      <c r="C35" s="7"/>
      <c r="D35" s="7"/>
      <c r="E35" s="4"/>
      <c r="F35" s="4" t="str">
        <f t="shared" si="0"/>
        <v/>
      </c>
      <c r="G35" s="1" t="str">
        <f t="shared" si="1"/>
        <v/>
      </c>
    </row>
    <row r="36" spans="1:7" ht="15" customHeight="1" x14ac:dyDescent="0.3">
      <c r="A36" s="5"/>
      <c r="B36" s="6"/>
      <c r="C36" s="7"/>
      <c r="D36" s="7"/>
      <c r="E36" s="4"/>
      <c r="F36" s="4" t="str">
        <f t="shared" si="0"/>
        <v/>
      </c>
      <c r="G36" s="1" t="str">
        <f t="shared" si="1"/>
        <v/>
      </c>
    </row>
    <row r="37" spans="1:7" ht="15" customHeight="1" x14ac:dyDescent="0.3">
      <c r="A37" s="5"/>
      <c r="B37" s="6"/>
      <c r="C37" s="7"/>
      <c r="D37" s="7"/>
      <c r="E37" s="4"/>
      <c r="F37" s="4" t="str">
        <f t="shared" si="0"/>
        <v/>
      </c>
      <c r="G37" s="1" t="str">
        <f t="shared" si="1"/>
        <v/>
      </c>
    </row>
    <row r="38" spans="1:7" ht="15" customHeight="1" x14ac:dyDescent="0.3">
      <c r="A38" s="5"/>
      <c r="B38" s="6"/>
      <c r="C38" s="7"/>
      <c r="D38" s="7"/>
      <c r="E38" s="4"/>
      <c r="F38" s="4" t="str">
        <f t="shared" si="0"/>
        <v/>
      </c>
      <c r="G38" s="1" t="str">
        <f t="shared" si="1"/>
        <v/>
      </c>
    </row>
    <row r="39" spans="1:7" ht="15" customHeight="1" x14ac:dyDescent="0.3">
      <c r="A39" s="5"/>
      <c r="B39" s="6"/>
      <c r="C39" s="7"/>
      <c r="D39" s="7"/>
      <c r="E39" s="4"/>
      <c r="F39" s="4" t="str">
        <f t="shared" si="0"/>
        <v/>
      </c>
      <c r="G39" s="1" t="str">
        <f t="shared" si="1"/>
        <v/>
      </c>
    </row>
    <row r="40" spans="1:7" ht="15" customHeight="1" x14ac:dyDescent="0.3">
      <c r="A40" s="5"/>
      <c r="B40" s="6"/>
      <c r="C40" s="7"/>
      <c r="D40" s="7"/>
      <c r="E40" s="4"/>
      <c r="F40" s="4" t="str">
        <f t="shared" si="0"/>
        <v/>
      </c>
      <c r="G40" s="1" t="str">
        <f t="shared" si="1"/>
        <v/>
      </c>
    </row>
    <row r="41" spans="1:7" ht="15" customHeight="1" x14ac:dyDescent="0.3">
      <c r="A41" s="5"/>
      <c r="B41" s="6"/>
      <c r="C41" s="7"/>
      <c r="D41" s="7"/>
      <c r="E41" s="4"/>
      <c r="F41" s="4" t="str">
        <f t="shared" si="0"/>
        <v/>
      </c>
      <c r="G41" s="1" t="str">
        <f t="shared" si="1"/>
        <v/>
      </c>
    </row>
    <row r="42" spans="1:7" ht="15" customHeight="1" x14ac:dyDescent="0.3">
      <c r="A42" s="5"/>
      <c r="B42" s="6"/>
      <c r="C42" s="7"/>
      <c r="D42" s="7"/>
      <c r="E42" s="4"/>
      <c r="F42" s="4" t="str">
        <f t="shared" si="0"/>
        <v/>
      </c>
      <c r="G42" s="1" t="str">
        <f t="shared" si="1"/>
        <v/>
      </c>
    </row>
    <row r="43" spans="1:7" ht="15" customHeight="1" x14ac:dyDescent="0.3">
      <c r="A43" s="5"/>
      <c r="B43" s="6"/>
      <c r="C43" s="7"/>
      <c r="D43" s="7"/>
      <c r="E43" s="4"/>
      <c r="F43" s="4" t="str">
        <f t="shared" si="0"/>
        <v/>
      </c>
      <c r="G43" s="1" t="str">
        <f t="shared" si="1"/>
        <v/>
      </c>
    </row>
    <row r="44" spans="1:7" ht="15" customHeight="1" x14ac:dyDescent="0.3">
      <c r="A44" s="5"/>
      <c r="B44" s="6"/>
      <c r="C44" s="7"/>
      <c r="D44" s="7"/>
      <c r="E44" s="4"/>
      <c r="F44" s="4" t="str">
        <f t="shared" si="0"/>
        <v/>
      </c>
      <c r="G44" s="1" t="str">
        <f t="shared" si="1"/>
        <v/>
      </c>
    </row>
    <row r="45" spans="1:7" ht="15" customHeight="1" x14ac:dyDescent="0.3">
      <c r="A45" s="5"/>
      <c r="B45" s="6"/>
      <c r="C45" s="7"/>
      <c r="D45" s="7"/>
      <c r="E45" s="4"/>
      <c r="F45" s="4" t="str">
        <f t="shared" si="0"/>
        <v/>
      </c>
      <c r="G45" s="1" t="str">
        <f t="shared" si="1"/>
        <v/>
      </c>
    </row>
    <row r="46" spans="1:7" ht="15" customHeight="1" x14ac:dyDescent="0.3">
      <c r="A46" s="5"/>
      <c r="B46" s="6"/>
      <c r="C46" s="7"/>
      <c r="D46" s="7"/>
      <c r="E46" s="4"/>
      <c r="F46" s="4" t="str">
        <f t="shared" si="0"/>
        <v/>
      </c>
      <c r="G46" s="1" t="str">
        <f t="shared" si="1"/>
        <v/>
      </c>
    </row>
    <row r="47" spans="1:7" ht="15" customHeight="1" x14ac:dyDescent="0.3">
      <c r="A47" s="5"/>
      <c r="B47" s="6"/>
      <c r="C47" s="7"/>
      <c r="D47" s="7"/>
      <c r="E47" s="4"/>
      <c r="F47" s="4" t="str">
        <f t="shared" si="0"/>
        <v/>
      </c>
      <c r="G47" s="1" t="str">
        <f t="shared" si="1"/>
        <v/>
      </c>
    </row>
    <row r="48" spans="1:7" ht="15" customHeight="1" x14ac:dyDescent="0.3">
      <c r="A48" s="5"/>
      <c r="B48" s="6"/>
      <c r="C48" s="7"/>
      <c r="D48" s="7"/>
      <c r="E48" s="4"/>
      <c r="F48" s="4" t="str">
        <f t="shared" si="0"/>
        <v/>
      </c>
      <c r="G48" s="1" t="str">
        <f t="shared" si="1"/>
        <v/>
      </c>
    </row>
    <row r="49" spans="1:7" ht="15" customHeight="1" x14ac:dyDescent="0.3">
      <c r="A49" s="5"/>
      <c r="B49" s="6"/>
      <c r="C49" s="7"/>
      <c r="D49" s="7"/>
      <c r="E49" s="4"/>
      <c r="F49" s="4" t="str">
        <f t="shared" si="0"/>
        <v/>
      </c>
      <c r="G49" s="1" t="str">
        <f t="shared" si="1"/>
        <v/>
      </c>
    </row>
    <row r="50" spans="1:7" ht="15" customHeight="1" x14ac:dyDescent="0.3">
      <c r="A50" s="5"/>
      <c r="B50" s="6"/>
      <c r="C50" s="7"/>
      <c r="D50" s="7"/>
      <c r="E50" s="4"/>
      <c r="F50" s="4" t="str">
        <f t="shared" si="0"/>
        <v/>
      </c>
      <c r="G50" s="1" t="str">
        <f t="shared" si="1"/>
        <v/>
      </c>
    </row>
    <row r="51" spans="1:7" ht="15" customHeight="1" x14ac:dyDescent="0.3">
      <c r="A51" s="5"/>
      <c r="B51" s="6"/>
      <c r="C51" s="7"/>
      <c r="D51" s="7"/>
      <c r="E51" s="4"/>
      <c r="F51" s="4" t="str">
        <f t="shared" si="0"/>
        <v/>
      </c>
      <c r="G51" s="1" t="str">
        <f t="shared" si="1"/>
        <v/>
      </c>
    </row>
    <row r="52" spans="1:7" ht="15" customHeight="1" x14ac:dyDescent="0.3">
      <c r="A52" s="5"/>
      <c r="B52" s="6"/>
      <c r="C52" s="7"/>
      <c r="D52" s="7"/>
      <c r="E52" s="4"/>
      <c r="F52" s="4" t="str">
        <f t="shared" si="0"/>
        <v/>
      </c>
      <c r="G52" s="1" t="str">
        <f t="shared" si="1"/>
        <v/>
      </c>
    </row>
    <row r="53" spans="1:7" ht="15" customHeight="1" x14ac:dyDescent="0.3">
      <c r="A53" s="5"/>
      <c r="B53" s="6"/>
      <c r="C53" s="7"/>
      <c r="D53" s="7"/>
      <c r="E53" s="4"/>
      <c r="F53" s="4" t="str">
        <f t="shared" si="0"/>
        <v/>
      </c>
      <c r="G53" s="1" t="str">
        <f t="shared" si="1"/>
        <v/>
      </c>
    </row>
    <row r="54" spans="1:7" ht="15" customHeight="1" x14ac:dyDescent="0.3">
      <c r="A54" s="5"/>
      <c r="B54" s="6"/>
      <c r="C54" s="7"/>
      <c r="D54" s="7"/>
      <c r="E54" s="4"/>
      <c r="F54" s="4" t="str">
        <f t="shared" si="0"/>
        <v/>
      </c>
      <c r="G54" s="1" t="str">
        <f t="shared" si="1"/>
        <v/>
      </c>
    </row>
    <row r="55" spans="1:7" ht="15" customHeight="1" x14ac:dyDescent="0.3">
      <c r="A55" s="5"/>
      <c r="B55" s="6"/>
      <c r="C55" s="7"/>
      <c r="D55" s="7"/>
      <c r="E55" s="4"/>
      <c r="F55" s="4" t="str">
        <f t="shared" si="0"/>
        <v/>
      </c>
      <c r="G55" s="1" t="str">
        <f t="shared" si="1"/>
        <v/>
      </c>
    </row>
    <row r="56" spans="1:7" ht="15" customHeight="1" x14ac:dyDescent="0.3">
      <c r="A56" s="5"/>
      <c r="B56" s="6"/>
      <c r="C56" s="7"/>
      <c r="D56" s="7"/>
      <c r="E56" s="4"/>
      <c r="F56" s="4" t="str">
        <f t="shared" si="0"/>
        <v/>
      </c>
      <c r="G56" s="1" t="str">
        <f t="shared" si="1"/>
        <v/>
      </c>
    </row>
    <row r="57" spans="1:7" ht="15" customHeight="1" x14ac:dyDescent="0.3">
      <c r="A57" s="5"/>
      <c r="B57" s="6"/>
      <c r="C57" s="7"/>
      <c r="D57" s="7"/>
      <c r="E57" s="4"/>
      <c r="F57" s="4" t="str">
        <f t="shared" si="0"/>
        <v/>
      </c>
      <c r="G57" s="1" t="str">
        <f t="shared" ref="G57:G120" si="2">IF(A57&lt;&gt;"",MONTH(A57),"")</f>
        <v/>
      </c>
    </row>
    <row r="58" spans="1:7" ht="15" customHeight="1" x14ac:dyDescent="0.3">
      <c r="A58" s="5"/>
      <c r="B58" s="6"/>
      <c r="C58" s="7"/>
      <c r="D58" s="7"/>
      <c r="E58" s="4"/>
      <c r="F58" s="4" t="str">
        <f t="shared" ref="F58:F121" si="3">IF(AND(D58&lt;&gt;"",E58&lt;&gt;""),D58*E58,"")</f>
        <v/>
      </c>
      <c r="G58" s="1" t="str">
        <f t="shared" si="2"/>
        <v/>
      </c>
    </row>
    <row r="59" spans="1:7" ht="15" customHeight="1" x14ac:dyDescent="0.3">
      <c r="A59" s="5"/>
      <c r="B59" s="6"/>
      <c r="C59" s="7"/>
      <c r="D59" s="7"/>
      <c r="E59" s="4"/>
      <c r="F59" s="4" t="str">
        <f t="shared" si="3"/>
        <v/>
      </c>
      <c r="G59" s="1" t="str">
        <f t="shared" si="2"/>
        <v/>
      </c>
    </row>
    <row r="60" spans="1:7" ht="15" customHeight="1" x14ac:dyDescent="0.3">
      <c r="A60" s="5"/>
      <c r="B60" s="6"/>
      <c r="C60" s="7"/>
      <c r="D60" s="7"/>
      <c r="E60" s="4"/>
      <c r="F60" s="4" t="str">
        <f t="shared" si="3"/>
        <v/>
      </c>
      <c r="G60" s="1" t="str">
        <f t="shared" si="2"/>
        <v/>
      </c>
    </row>
    <row r="61" spans="1:7" ht="15" customHeight="1" x14ac:dyDescent="0.3">
      <c r="A61" s="5"/>
      <c r="B61" s="6"/>
      <c r="C61" s="7"/>
      <c r="D61" s="7"/>
      <c r="E61" s="4"/>
      <c r="F61" s="4" t="str">
        <f t="shared" si="3"/>
        <v/>
      </c>
      <c r="G61" s="1" t="str">
        <f t="shared" si="2"/>
        <v/>
      </c>
    </row>
    <row r="62" spans="1:7" ht="15" customHeight="1" x14ac:dyDescent="0.3">
      <c r="A62" s="5"/>
      <c r="B62" s="6"/>
      <c r="C62" s="7"/>
      <c r="D62" s="7"/>
      <c r="E62" s="4"/>
      <c r="F62" s="4" t="str">
        <f t="shared" si="3"/>
        <v/>
      </c>
      <c r="G62" s="1" t="str">
        <f t="shared" si="2"/>
        <v/>
      </c>
    </row>
    <row r="63" spans="1:7" ht="15" customHeight="1" x14ac:dyDescent="0.3">
      <c r="A63" s="5"/>
      <c r="B63" s="6"/>
      <c r="C63" s="7"/>
      <c r="D63" s="7"/>
      <c r="E63" s="4"/>
      <c r="F63" s="4" t="str">
        <f t="shared" si="3"/>
        <v/>
      </c>
      <c r="G63" s="1" t="str">
        <f t="shared" si="2"/>
        <v/>
      </c>
    </row>
    <row r="64" spans="1:7" ht="15" customHeight="1" x14ac:dyDescent="0.3">
      <c r="A64" s="5"/>
      <c r="B64" s="6"/>
      <c r="C64" s="7"/>
      <c r="D64" s="7"/>
      <c r="E64" s="4"/>
      <c r="F64" s="4" t="str">
        <f t="shared" si="3"/>
        <v/>
      </c>
      <c r="G64" s="1" t="str">
        <f t="shared" si="2"/>
        <v/>
      </c>
    </row>
    <row r="65" spans="1:7" ht="15" customHeight="1" x14ac:dyDescent="0.3">
      <c r="A65" s="5"/>
      <c r="B65" s="6"/>
      <c r="C65" s="7"/>
      <c r="D65" s="7"/>
      <c r="E65" s="4"/>
      <c r="F65" s="4" t="str">
        <f t="shared" si="3"/>
        <v/>
      </c>
      <c r="G65" s="1" t="str">
        <f t="shared" si="2"/>
        <v/>
      </c>
    </row>
    <row r="66" spans="1:7" ht="15" customHeight="1" x14ac:dyDescent="0.3">
      <c r="A66" s="5"/>
      <c r="B66" s="6"/>
      <c r="C66" s="7"/>
      <c r="D66" s="7"/>
      <c r="E66" s="4"/>
      <c r="F66" s="4" t="str">
        <f t="shared" si="3"/>
        <v/>
      </c>
      <c r="G66" s="1" t="str">
        <f t="shared" si="2"/>
        <v/>
      </c>
    </row>
    <row r="67" spans="1:7" ht="15" customHeight="1" x14ac:dyDescent="0.3">
      <c r="A67" s="5"/>
      <c r="B67" s="6"/>
      <c r="C67" s="7"/>
      <c r="D67" s="7"/>
      <c r="E67" s="4"/>
      <c r="F67" s="4" t="str">
        <f t="shared" si="3"/>
        <v/>
      </c>
      <c r="G67" s="1" t="str">
        <f t="shared" si="2"/>
        <v/>
      </c>
    </row>
    <row r="68" spans="1:7" ht="15" customHeight="1" x14ac:dyDescent="0.3">
      <c r="A68" s="5"/>
      <c r="B68" s="6"/>
      <c r="C68" s="7"/>
      <c r="D68" s="7"/>
      <c r="E68" s="4"/>
      <c r="F68" s="4" t="str">
        <f t="shared" si="3"/>
        <v/>
      </c>
      <c r="G68" s="1" t="str">
        <f t="shared" si="2"/>
        <v/>
      </c>
    </row>
    <row r="69" spans="1:7" ht="15" customHeight="1" x14ac:dyDescent="0.3">
      <c r="A69" s="5"/>
      <c r="B69" s="6"/>
      <c r="C69" s="7"/>
      <c r="D69" s="7"/>
      <c r="E69" s="4"/>
      <c r="F69" s="4" t="str">
        <f t="shared" si="3"/>
        <v/>
      </c>
      <c r="G69" s="1" t="str">
        <f t="shared" si="2"/>
        <v/>
      </c>
    </row>
    <row r="70" spans="1:7" ht="15" customHeight="1" x14ac:dyDescent="0.3">
      <c r="A70" s="5"/>
      <c r="B70" s="6"/>
      <c r="C70" s="7"/>
      <c r="D70" s="7"/>
      <c r="E70" s="4"/>
      <c r="F70" s="4" t="str">
        <f t="shared" si="3"/>
        <v/>
      </c>
      <c r="G70" s="1" t="str">
        <f t="shared" si="2"/>
        <v/>
      </c>
    </row>
    <row r="71" spans="1:7" ht="15" customHeight="1" x14ac:dyDescent="0.3">
      <c r="A71" s="5"/>
      <c r="B71" s="6"/>
      <c r="C71" s="7"/>
      <c r="D71" s="7"/>
      <c r="E71" s="4"/>
      <c r="F71" s="4" t="str">
        <f t="shared" si="3"/>
        <v/>
      </c>
      <c r="G71" s="1" t="str">
        <f t="shared" si="2"/>
        <v/>
      </c>
    </row>
    <row r="72" spans="1:7" ht="15" customHeight="1" x14ac:dyDescent="0.3">
      <c r="A72" s="5"/>
      <c r="B72" s="6"/>
      <c r="C72" s="7"/>
      <c r="D72" s="7"/>
      <c r="E72" s="4"/>
      <c r="F72" s="4" t="str">
        <f t="shared" si="3"/>
        <v/>
      </c>
      <c r="G72" s="1" t="str">
        <f t="shared" si="2"/>
        <v/>
      </c>
    </row>
    <row r="73" spans="1:7" ht="15" customHeight="1" x14ac:dyDescent="0.3">
      <c r="A73" s="5"/>
      <c r="B73" s="6"/>
      <c r="C73" s="7"/>
      <c r="D73" s="7"/>
      <c r="E73" s="4"/>
      <c r="F73" s="4" t="str">
        <f t="shared" si="3"/>
        <v/>
      </c>
      <c r="G73" s="1" t="str">
        <f t="shared" si="2"/>
        <v/>
      </c>
    </row>
    <row r="74" spans="1:7" ht="15" customHeight="1" x14ac:dyDescent="0.3">
      <c r="A74" s="5"/>
      <c r="B74" s="6"/>
      <c r="C74" s="7"/>
      <c r="D74" s="7"/>
      <c r="E74" s="4"/>
      <c r="F74" s="4" t="str">
        <f t="shared" si="3"/>
        <v/>
      </c>
      <c r="G74" s="1" t="str">
        <f t="shared" si="2"/>
        <v/>
      </c>
    </row>
    <row r="75" spans="1:7" ht="15" customHeight="1" x14ac:dyDescent="0.3">
      <c r="A75" s="5"/>
      <c r="B75" s="6"/>
      <c r="C75" s="7"/>
      <c r="D75" s="7"/>
      <c r="E75" s="4"/>
      <c r="F75" s="4" t="str">
        <f t="shared" si="3"/>
        <v/>
      </c>
      <c r="G75" s="1" t="str">
        <f t="shared" si="2"/>
        <v/>
      </c>
    </row>
    <row r="76" spans="1:7" ht="15" customHeight="1" x14ac:dyDescent="0.3">
      <c r="A76" s="5"/>
      <c r="B76" s="6"/>
      <c r="C76" s="7"/>
      <c r="D76" s="7"/>
      <c r="E76" s="4"/>
      <c r="F76" s="4" t="str">
        <f t="shared" si="3"/>
        <v/>
      </c>
      <c r="G76" s="1" t="str">
        <f t="shared" si="2"/>
        <v/>
      </c>
    </row>
    <row r="77" spans="1:7" ht="15" customHeight="1" x14ac:dyDescent="0.3">
      <c r="A77" s="5"/>
      <c r="B77" s="6"/>
      <c r="C77" s="7"/>
      <c r="D77" s="7"/>
      <c r="E77" s="4"/>
      <c r="F77" s="4" t="str">
        <f t="shared" si="3"/>
        <v/>
      </c>
      <c r="G77" s="1" t="str">
        <f t="shared" si="2"/>
        <v/>
      </c>
    </row>
    <row r="78" spans="1:7" ht="15" customHeight="1" x14ac:dyDescent="0.3">
      <c r="A78" s="5"/>
      <c r="B78" s="6"/>
      <c r="C78" s="7"/>
      <c r="D78" s="7"/>
      <c r="E78" s="4"/>
      <c r="F78" s="4" t="str">
        <f t="shared" si="3"/>
        <v/>
      </c>
      <c r="G78" s="1" t="str">
        <f t="shared" si="2"/>
        <v/>
      </c>
    </row>
    <row r="79" spans="1:7" ht="15" customHeight="1" x14ac:dyDescent="0.3">
      <c r="A79" s="5"/>
      <c r="B79" s="6"/>
      <c r="C79" s="7"/>
      <c r="D79" s="7"/>
      <c r="E79" s="4"/>
      <c r="F79" s="4" t="str">
        <f t="shared" si="3"/>
        <v/>
      </c>
      <c r="G79" s="1" t="str">
        <f t="shared" si="2"/>
        <v/>
      </c>
    </row>
    <row r="80" spans="1:7" ht="15" customHeight="1" x14ac:dyDescent="0.3">
      <c r="A80" s="5"/>
      <c r="B80" s="6"/>
      <c r="C80" s="7"/>
      <c r="D80" s="7"/>
      <c r="E80" s="4"/>
      <c r="F80" s="4" t="str">
        <f t="shared" si="3"/>
        <v/>
      </c>
      <c r="G80" s="1" t="str">
        <f t="shared" si="2"/>
        <v/>
      </c>
    </row>
    <row r="81" spans="1:7" ht="15" customHeight="1" x14ac:dyDescent="0.3">
      <c r="A81" s="5"/>
      <c r="B81" s="6"/>
      <c r="C81" s="7"/>
      <c r="D81" s="7"/>
      <c r="E81" s="4"/>
      <c r="F81" s="4" t="str">
        <f t="shared" si="3"/>
        <v/>
      </c>
      <c r="G81" s="1" t="str">
        <f t="shared" si="2"/>
        <v/>
      </c>
    </row>
    <row r="82" spans="1:7" ht="15" customHeight="1" x14ac:dyDescent="0.3">
      <c r="A82" s="5"/>
      <c r="B82" s="6"/>
      <c r="C82" s="7"/>
      <c r="D82" s="7"/>
      <c r="E82" s="4"/>
      <c r="F82" s="4" t="str">
        <f t="shared" si="3"/>
        <v/>
      </c>
      <c r="G82" s="1" t="str">
        <f t="shared" si="2"/>
        <v/>
      </c>
    </row>
    <row r="83" spans="1:7" ht="15" customHeight="1" x14ac:dyDescent="0.3">
      <c r="A83" s="5"/>
      <c r="B83" s="6"/>
      <c r="C83" s="7"/>
      <c r="D83" s="7"/>
      <c r="E83" s="4"/>
      <c r="F83" s="4" t="str">
        <f t="shared" si="3"/>
        <v/>
      </c>
      <c r="G83" s="1" t="str">
        <f t="shared" si="2"/>
        <v/>
      </c>
    </row>
    <row r="84" spans="1:7" ht="15" customHeight="1" x14ac:dyDescent="0.3">
      <c r="A84" s="5"/>
      <c r="B84" s="6"/>
      <c r="C84" s="7"/>
      <c r="D84" s="7"/>
      <c r="E84" s="4"/>
      <c r="F84" s="4" t="str">
        <f t="shared" si="3"/>
        <v/>
      </c>
      <c r="G84" s="1" t="str">
        <f t="shared" si="2"/>
        <v/>
      </c>
    </row>
    <row r="85" spans="1:7" ht="15" customHeight="1" x14ac:dyDescent="0.3">
      <c r="A85" s="5"/>
      <c r="B85" s="6"/>
      <c r="C85" s="7"/>
      <c r="D85" s="7"/>
      <c r="E85" s="4"/>
      <c r="F85" s="4" t="str">
        <f t="shared" si="3"/>
        <v/>
      </c>
      <c r="G85" s="1" t="str">
        <f t="shared" si="2"/>
        <v/>
      </c>
    </row>
    <row r="86" spans="1:7" ht="15" customHeight="1" x14ac:dyDescent="0.3">
      <c r="A86" s="5"/>
      <c r="B86" s="6"/>
      <c r="C86" s="7"/>
      <c r="D86" s="7"/>
      <c r="E86" s="4"/>
      <c r="F86" s="4" t="str">
        <f t="shared" si="3"/>
        <v/>
      </c>
      <c r="G86" s="1" t="str">
        <f t="shared" si="2"/>
        <v/>
      </c>
    </row>
    <row r="87" spans="1:7" ht="15" customHeight="1" x14ac:dyDescent="0.3">
      <c r="A87" s="5"/>
      <c r="B87" s="6"/>
      <c r="C87" s="7"/>
      <c r="D87" s="7"/>
      <c r="E87" s="4"/>
      <c r="F87" s="4" t="str">
        <f t="shared" si="3"/>
        <v/>
      </c>
      <c r="G87" s="1" t="str">
        <f t="shared" si="2"/>
        <v/>
      </c>
    </row>
    <row r="88" spans="1:7" ht="15" customHeight="1" x14ac:dyDescent="0.3">
      <c r="A88" s="5"/>
      <c r="B88" s="6"/>
      <c r="C88" s="7"/>
      <c r="D88" s="7"/>
      <c r="E88" s="4"/>
      <c r="F88" s="4" t="str">
        <f t="shared" si="3"/>
        <v/>
      </c>
      <c r="G88" s="1" t="str">
        <f t="shared" si="2"/>
        <v/>
      </c>
    </row>
    <row r="89" spans="1:7" ht="15" customHeight="1" x14ac:dyDescent="0.3">
      <c r="A89" s="5"/>
      <c r="B89" s="6"/>
      <c r="C89" s="7"/>
      <c r="D89" s="7"/>
      <c r="E89" s="4"/>
      <c r="F89" s="4" t="str">
        <f t="shared" si="3"/>
        <v/>
      </c>
      <c r="G89" s="1" t="str">
        <f t="shared" si="2"/>
        <v/>
      </c>
    </row>
    <row r="90" spans="1:7" ht="15" customHeight="1" x14ac:dyDescent="0.3">
      <c r="A90" s="5"/>
      <c r="B90" s="6"/>
      <c r="C90" s="7"/>
      <c r="D90" s="7"/>
      <c r="E90" s="4"/>
      <c r="F90" s="4" t="str">
        <f t="shared" si="3"/>
        <v/>
      </c>
      <c r="G90" s="1" t="str">
        <f t="shared" si="2"/>
        <v/>
      </c>
    </row>
    <row r="91" spans="1:7" ht="15" customHeight="1" x14ac:dyDescent="0.3">
      <c r="A91" s="5"/>
      <c r="B91" s="6"/>
      <c r="C91" s="7"/>
      <c r="D91" s="7"/>
      <c r="E91" s="4"/>
      <c r="F91" s="4" t="str">
        <f t="shared" si="3"/>
        <v/>
      </c>
      <c r="G91" s="1" t="str">
        <f t="shared" si="2"/>
        <v/>
      </c>
    </row>
    <row r="92" spans="1:7" ht="15" customHeight="1" x14ac:dyDescent="0.3">
      <c r="A92" s="5"/>
      <c r="B92" s="6"/>
      <c r="C92" s="7"/>
      <c r="D92" s="7"/>
      <c r="E92" s="4"/>
      <c r="F92" s="4" t="str">
        <f t="shared" si="3"/>
        <v/>
      </c>
      <c r="G92" s="1" t="str">
        <f t="shared" si="2"/>
        <v/>
      </c>
    </row>
    <row r="93" spans="1:7" ht="15" customHeight="1" x14ac:dyDescent="0.3">
      <c r="A93" s="5"/>
      <c r="B93" s="6"/>
      <c r="C93" s="7"/>
      <c r="D93" s="7"/>
      <c r="E93" s="4"/>
      <c r="F93" s="4" t="str">
        <f t="shared" si="3"/>
        <v/>
      </c>
      <c r="G93" s="1" t="str">
        <f t="shared" si="2"/>
        <v/>
      </c>
    </row>
    <row r="94" spans="1:7" ht="15" customHeight="1" x14ac:dyDescent="0.3">
      <c r="A94" s="5"/>
      <c r="B94" s="6"/>
      <c r="C94" s="7"/>
      <c r="D94" s="7"/>
      <c r="E94" s="4"/>
      <c r="F94" s="4" t="str">
        <f t="shared" si="3"/>
        <v/>
      </c>
      <c r="G94" s="1" t="str">
        <f t="shared" si="2"/>
        <v/>
      </c>
    </row>
    <row r="95" spans="1:7" ht="15" customHeight="1" x14ac:dyDescent="0.3">
      <c r="A95" s="5"/>
      <c r="B95" s="6"/>
      <c r="C95" s="7"/>
      <c r="D95" s="7"/>
      <c r="E95" s="4"/>
      <c r="F95" s="4" t="str">
        <f t="shared" si="3"/>
        <v/>
      </c>
      <c r="G95" s="1" t="str">
        <f t="shared" si="2"/>
        <v/>
      </c>
    </row>
    <row r="96" spans="1:7" ht="15" customHeight="1" x14ac:dyDescent="0.3">
      <c r="A96" s="5"/>
      <c r="B96" s="6"/>
      <c r="C96" s="7"/>
      <c r="D96" s="7"/>
      <c r="E96" s="4"/>
      <c r="F96" s="4" t="str">
        <f t="shared" si="3"/>
        <v/>
      </c>
      <c r="G96" s="1" t="str">
        <f t="shared" si="2"/>
        <v/>
      </c>
    </row>
    <row r="97" spans="1:7" ht="15" customHeight="1" x14ac:dyDescent="0.3">
      <c r="A97" s="5"/>
      <c r="B97" s="6"/>
      <c r="C97" s="7"/>
      <c r="D97" s="7"/>
      <c r="E97" s="4"/>
      <c r="F97" s="4" t="str">
        <f t="shared" si="3"/>
        <v/>
      </c>
      <c r="G97" s="1" t="str">
        <f t="shared" si="2"/>
        <v/>
      </c>
    </row>
    <row r="98" spans="1:7" ht="15" customHeight="1" x14ac:dyDescent="0.3">
      <c r="A98" s="5"/>
      <c r="B98" s="6"/>
      <c r="C98" s="7"/>
      <c r="D98" s="7"/>
      <c r="E98" s="4"/>
      <c r="F98" s="4" t="str">
        <f t="shared" si="3"/>
        <v/>
      </c>
      <c r="G98" s="1" t="str">
        <f t="shared" si="2"/>
        <v/>
      </c>
    </row>
    <row r="99" spans="1:7" ht="15" customHeight="1" x14ac:dyDescent="0.3">
      <c r="A99" s="5"/>
      <c r="B99" s="6"/>
      <c r="C99" s="7"/>
      <c r="D99" s="7"/>
      <c r="E99" s="4"/>
      <c r="F99" s="4" t="str">
        <f t="shared" si="3"/>
        <v/>
      </c>
      <c r="G99" s="1" t="str">
        <f t="shared" si="2"/>
        <v/>
      </c>
    </row>
    <row r="100" spans="1:7" ht="15" customHeight="1" x14ac:dyDescent="0.3">
      <c r="A100" s="5"/>
      <c r="B100" s="6"/>
      <c r="C100" s="7"/>
      <c r="D100" s="7"/>
      <c r="E100" s="4"/>
      <c r="F100" s="4" t="str">
        <f t="shared" si="3"/>
        <v/>
      </c>
      <c r="G100" s="1" t="str">
        <f t="shared" si="2"/>
        <v/>
      </c>
    </row>
    <row r="101" spans="1:7" ht="15" customHeight="1" x14ac:dyDescent="0.3">
      <c r="A101" s="5"/>
      <c r="B101" s="6"/>
      <c r="C101" s="7"/>
      <c r="D101" s="7"/>
      <c r="E101" s="4"/>
      <c r="F101" s="4" t="str">
        <f t="shared" si="3"/>
        <v/>
      </c>
      <c r="G101" s="1" t="str">
        <f t="shared" si="2"/>
        <v/>
      </c>
    </row>
    <row r="102" spans="1:7" ht="15" customHeight="1" x14ac:dyDescent="0.3">
      <c r="A102" s="5"/>
      <c r="B102" s="6"/>
      <c r="C102" s="7"/>
      <c r="D102" s="7"/>
      <c r="E102" s="4"/>
      <c r="F102" s="4" t="str">
        <f t="shared" si="3"/>
        <v/>
      </c>
      <c r="G102" s="1" t="str">
        <f t="shared" si="2"/>
        <v/>
      </c>
    </row>
    <row r="103" spans="1:7" ht="15" customHeight="1" x14ac:dyDescent="0.3">
      <c r="A103" s="5"/>
      <c r="B103" s="6"/>
      <c r="C103" s="7"/>
      <c r="D103" s="7"/>
      <c r="E103" s="4"/>
      <c r="F103" s="4" t="str">
        <f t="shared" si="3"/>
        <v/>
      </c>
      <c r="G103" s="1" t="str">
        <f t="shared" si="2"/>
        <v/>
      </c>
    </row>
    <row r="104" spans="1:7" ht="15" customHeight="1" x14ac:dyDescent="0.3">
      <c r="A104" s="5"/>
      <c r="B104" s="6"/>
      <c r="C104" s="7"/>
      <c r="D104" s="7"/>
      <c r="E104" s="4"/>
      <c r="F104" s="4" t="str">
        <f t="shared" si="3"/>
        <v/>
      </c>
      <c r="G104" s="1" t="str">
        <f t="shared" si="2"/>
        <v/>
      </c>
    </row>
    <row r="105" spans="1:7" ht="15" customHeight="1" x14ac:dyDescent="0.3">
      <c r="A105" s="5"/>
      <c r="B105" s="6"/>
      <c r="C105" s="7"/>
      <c r="D105" s="7"/>
      <c r="E105" s="4"/>
      <c r="F105" s="4" t="str">
        <f t="shared" si="3"/>
        <v/>
      </c>
      <c r="G105" s="1" t="str">
        <f t="shared" si="2"/>
        <v/>
      </c>
    </row>
    <row r="106" spans="1:7" ht="15" customHeight="1" x14ac:dyDescent="0.3">
      <c r="A106" s="5"/>
      <c r="B106" s="6"/>
      <c r="C106" s="7"/>
      <c r="D106" s="7"/>
      <c r="E106" s="4"/>
      <c r="F106" s="4" t="str">
        <f t="shared" si="3"/>
        <v/>
      </c>
      <c r="G106" s="1" t="str">
        <f t="shared" si="2"/>
        <v/>
      </c>
    </row>
    <row r="107" spans="1:7" ht="15" customHeight="1" x14ac:dyDescent="0.3">
      <c r="A107" s="5"/>
      <c r="B107" s="6"/>
      <c r="C107" s="7"/>
      <c r="D107" s="7"/>
      <c r="E107" s="4"/>
      <c r="F107" s="4" t="str">
        <f t="shared" si="3"/>
        <v/>
      </c>
      <c r="G107" s="1" t="str">
        <f t="shared" si="2"/>
        <v/>
      </c>
    </row>
    <row r="108" spans="1:7" ht="15" customHeight="1" x14ac:dyDescent="0.3">
      <c r="A108" s="5"/>
      <c r="B108" s="6"/>
      <c r="C108" s="7"/>
      <c r="D108" s="7"/>
      <c r="E108" s="4"/>
      <c r="F108" s="4" t="str">
        <f t="shared" si="3"/>
        <v/>
      </c>
      <c r="G108" s="1" t="str">
        <f t="shared" si="2"/>
        <v/>
      </c>
    </row>
    <row r="109" spans="1:7" ht="15" customHeight="1" x14ac:dyDescent="0.3">
      <c r="A109" s="5"/>
      <c r="B109" s="6"/>
      <c r="C109" s="7"/>
      <c r="D109" s="7"/>
      <c r="E109" s="4"/>
      <c r="F109" s="4" t="str">
        <f t="shared" si="3"/>
        <v/>
      </c>
      <c r="G109" s="1" t="str">
        <f t="shared" si="2"/>
        <v/>
      </c>
    </row>
    <row r="110" spans="1:7" ht="15" customHeight="1" x14ac:dyDescent="0.3">
      <c r="A110" s="5"/>
      <c r="B110" s="6"/>
      <c r="C110" s="7"/>
      <c r="D110" s="7"/>
      <c r="E110" s="4"/>
      <c r="F110" s="4" t="str">
        <f t="shared" si="3"/>
        <v/>
      </c>
      <c r="G110" s="1" t="str">
        <f t="shared" si="2"/>
        <v/>
      </c>
    </row>
    <row r="111" spans="1:7" ht="15" customHeight="1" x14ac:dyDescent="0.3">
      <c r="A111" s="5"/>
      <c r="B111" s="6"/>
      <c r="C111" s="7"/>
      <c r="D111" s="7"/>
      <c r="E111" s="4"/>
      <c r="F111" s="4" t="str">
        <f t="shared" si="3"/>
        <v/>
      </c>
      <c r="G111" s="1" t="str">
        <f t="shared" si="2"/>
        <v/>
      </c>
    </row>
    <row r="112" spans="1:7" ht="15" customHeight="1" x14ac:dyDescent="0.3">
      <c r="A112" s="5"/>
      <c r="B112" s="6"/>
      <c r="C112" s="7"/>
      <c r="D112" s="7"/>
      <c r="E112" s="4"/>
      <c r="F112" s="4" t="str">
        <f t="shared" si="3"/>
        <v/>
      </c>
      <c r="G112" s="1" t="str">
        <f t="shared" si="2"/>
        <v/>
      </c>
    </row>
    <row r="113" spans="1:7" ht="15" customHeight="1" x14ac:dyDescent="0.3">
      <c r="A113" s="5"/>
      <c r="B113" s="6"/>
      <c r="C113" s="7"/>
      <c r="D113" s="7"/>
      <c r="E113" s="4"/>
      <c r="F113" s="4" t="str">
        <f t="shared" si="3"/>
        <v/>
      </c>
      <c r="G113" s="1" t="str">
        <f t="shared" si="2"/>
        <v/>
      </c>
    </row>
    <row r="114" spans="1:7" ht="15" customHeight="1" x14ac:dyDescent="0.3">
      <c r="A114" s="5"/>
      <c r="B114" s="6"/>
      <c r="C114" s="7"/>
      <c r="D114" s="7"/>
      <c r="E114" s="4"/>
      <c r="F114" s="4" t="str">
        <f t="shared" si="3"/>
        <v/>
      </c>
      <c r="G114" s="1" t="str">
        <f t="shared" si="2"/>
        <v/>
      </c>
    </row>
    <row r="115" spans="1:7" ht="15" customHeight="1" x14ac:dyDescent="0.3">
      <c r="A115" s="5"/>
      <c r="B115" s="6"/>
      <c r="C115" s="7"/>
      <c r="D115" s="7"/>
      <c r="E115" s="4"/>
      <c r="F115" s="4" t="str">
        <f t="shared" si="3"/>
        <v/>
      </c>
      <c r="G115" s="1" t="str">
        <f t="shared" si="2"/>
        <v/>
      </c>
    </row>
    <row r="116" spans="1:7" ht="15" customHeight="1" x14ac:dyDescent="0.3">
      <c r="A116" s="5"/>
      <c r="B116" s="6"/>
      <c r="C116" s="7"/>
      <c r="D116" s="7"/>
      <c r="E116" s="4"/>
      <c r="F116" s="4" t="str">
        <f t="shared" si="3"/>
        <v/>
      </c>
      <c r="G116" s="1" t="str">
        <f t="shared" si="2"/>
        <v/>
      </c>
    </row>
    <row r="117" spans="1:7" ht="15" customHeight="1" x14ac:dyDescent="0.3">
      <c r="A117" s="5"/>
      <c r="B117" s="6"/>
      <c r="C117" s="7"/>
      <c r="D117" s="7"/>
      <c r="E117" s="4"/>
      <c r="F117" s="4" t="str">
        <f t="shared" si="3"/>
        <v/>
      </c>
      <c r="G117" s="1" t="str">
        <f t="shared" si="2"/>
        <v/>
      </c>
    </row>
    <row r="118" spans="1:7" ht="15" customHeight="1" x14ac:dyDescent="0.3">
      <c r="A118" s="5"/>
      <c r="B118" s="6"/>
      <c r="C118" s="7"/>
      <c r="D118" s="7"/>
      <c r="E118" s="4"/>
      <c r="F118" s="4" t="str">
        <f t="shared" si="3"/>
        <v/>
      </c>
      <c r="G118" s="1" t="str">
        <f t="shared" si="2"/>
        <v/>
      </c>
    </row>
    <row r="119" spans="1:7" ht="15" customHeight="1" x14ac:dyDescent="0.3">
      <c r="A119" s="5"/>
      <c r="B119" s="6"/>
      <c r="C119" s="7"/>
      <c r="D119" s="7"/>
      <c r="E119" s="4"/>
      <c r="F119" s="4" t="str">
        <f t="shared" si="3"/>
        <v/>
      </c>
      <c r="G119" s="1" t="str">
        <f t="shared" si="2"/>
        <v/>
      </c>
    </row>
    <row r="120" spans="1:7" ht="15" customHeight="1" x14ac:dyDescent="0.3">
      <c r="A120" s="5"/>
      <c r="B120" s="6"/>
      <c r="C120" s="7"/>
      <c r="D120" s="7"/>
      <c r="E120" s="4"/>
      <c r="F120" s="4" t="str">
        <f t="shared" si="3"/>
        <v/>
      </c>
      <c r="G120" s="1" t="str">
        <f t="shared" si="2"/>
        <v/>
      </c>
    </row>
    <row r="121" spans="1:7" ht="15" customHeight="1" x14ac:dyDescent="0.3">
      <c r="A121" s="5"/>
      <c r="B121" s="6"/>
      <c r="C121" s="7"/>
      <c r="D121" s="7"/>
      <c r="E121" s="4"/>
      <c r="F121" s="4" t="str">
        <f t="shared" si="3"/>
        <v/>
      </c>
      <c r="G121" s="1" t="str">
        <f t="shared" ref="G121:G184" si="4">IF(A121&lt;&gt;"",MONTH(A121),"")</f>
        <v/>
      </c>
    </row>
    <row r="122" spans="1:7" ht="15" customHeight="1" x14ac:dyDescent="0.3">
      <c r="A122" s="5"/>
      <c r="B122" s="6"/>
      <c r="C122" s="7"/>
      <c r="D122" s="7"/>
      <c r="E122" s="4"/>
      <c r="F122" s="4" t="str">
        <f t="shared" ref="F122:F185" si="5">IF(AND(D122&lt;&gt;"",E122&lt;&gt;""),D122*E122,"")</f>
        <v/>
      </c>
      <c r="G122" s="1" t="str">
        <f t="shared" si="4"/>
        <v/>
      </c>
    </row>
    <row r="123" spans="1:7" ht="15" customHeight="1" x14ac:dyDescent="0.3">
      <c r="A123" s="5"/>
      <c r="B123" s="6"/>
      <c r="C123" s="7"/>
      <c r="D123" s="7"/>
      <c r="E123" s="4"/>
      <c r="F123" s="4" t="str">
        <f t="shared" si="5"/>
        <v/>
      </c>
      <c r="G123" s="1" t="str">
        <f t="shared" si="4"/>
        <v/>
      </c>
    </row>
    <row r="124" spans="1:7" ht="15" customHeight="1" x14ac:dyDescent="0.3">
      <c r="A124" s="5"/>
      <c r="B124" s="6"/>
      <c r="C124" s="7"/>
      <c r="D124" s="7"/>
      <c r="E124" s="4"/>
      <c r="F124" s="4" t="str">
        <f t="shared" si="5"/>
        <v/>
      </c>
      <c r="G124" s="1" t="str">
        <f t="shared" si="4"/>
        <v/>
      </c>
    </row>
    <row r="125" spans="1:7" ht="15" customHeight="1" x14ac:dyDescent="0.3">
      <c r="A125" s="5"/>
      <c r="B125" s="6"/>
      <c r="C125" s="7"/>
      <c r="D125" s="7"/>
      <c r="E125" s="4"/>
      <c r="F125" s="4" t="str">
        <f t="shared" si="5"/>
        <v/>
      </c>
      <c r="G125" s="1" t="str">
        <f t="shared" si="4"/>
        <v/>
      </c>
    </row>
    <row r="126" spans="1:7" ht="15" customHeight="1" x14ac:dyDescent="0.3">
      <c r="A126" s="5"/>
      <c r="B126" s="6"/>
      <c r="C126" s="7"/>
      <c r="D126" s="7"/>
      <c r="E126" s="4"/>
      <c r="F126" s="4" t="str">
        <f t="shared" si="5"/>
        <v/>
      </c>
      <c r="G126" s="1" t="str">
        <f t="shared" si="4"/>
        <v/>
      </c>
    </row>
    <row r="127" spans="1:7" ht="15" customHeight="1" x14ac:dyDescent="0.3">
      <c r="A127" s="5"/>
      <c r="B127" s="6"/>
      <c r="C127" s="7"/>
      <c r="D127" s="7"/>
      <c r="E127" s="4"/>
      <c r="F127" s="4" t="str">
        <f t="shared" si="5"/>
        <v/>
      </c>
      <c r="G127" s="1" t="str">
        <f t="shared" si="4"/>
        <v/>
      </c>
    </row>
    <row r="128" spans="1:7" ht="15" customHeight="1" x14ac:dyDescent="0.3">
      <c r="A128" s="5"/>
      <c r="B128" s="6"/>
      <c r="C128" s="7"/>
      <c r="D128" s="7"/>
      <c r="E128" s="4"/>
      <c r="F128" s="4" t="str">
        <f t="shared" si="5"/>
        <v/>
      </c>
      <c r="G128" s="1" t="str">
        <f t="shared" si="4"/>
        <v/>
      </c>
    </row>
    <row r="129" spans="1:7" ht="15" customHeight="1" x14ac:dyDescent="0.3">
      <c r="A129" s="5"/>
      <c r="B129" s="6"/>
      <c r="C129" s="7"/>
      <c r="D129" s="7"/>
      <c r="E129" s="4"/>
      <c r="F129" s="4" t="str">
        <f t="shared" si="5"/>
        <v/>
      </c>
      <c r="G129" s="1" t="str">
        <f t="shared" si="4"/>
        <v/>
      </c>
    </row>
    <row r="130" spans="1:7" ht="15" customHeight="1" x14ac:dyDescent="0.3">
      <c r="A130" s="5"/>
      <c r="B130" s="6"/>
      <c r="C130" s="7"/>
      <c r="D130" s="7"/>
      <c r="E130" s="4"/>
      <c r="F130" s="4" t="str">
        <f t="shared" si="5"/>
        <v/>
      </c>
      <c r="G130" s="1" t="str">
        <f t="shared" si="4"/>
        <v/>
      </c>
    </row>
    <row r="131" spans="1:7" ht="15" customHeight="1" x14ac:dyDescent="0.3">
      <c r="A131" s="5"/>
      <c r="B131" s="6"/>
      <c r="C131" s="7"/>
      <c r="D131" s="7"/>
      <c r="E131" s="4"/>
      <c r="F131" s="4" t="str">
        <f t="shared" si="5"/>
        <v/>
      </c>
      <c r="G131" s="1" t="str">
        <f t="shared" si="4"/>
        <v/>
      </c>
    </row>
    <row r="132" spans="1:7" ht="15" customHeight="1" x14ac:dyDescent="0.3">
      <c r="A132" s="5"/>
      <c r="B132" s="6"/>
      <c r="C132" s="7"/>
      <c r="D132" s="7"/>
      <c r="E132" s="4"/>
      <c r="F132" s="4" t="str">
        <f t="shared" si="5"/>
        <v/>
      </c>
      <c r="G132" s="1" t="str">
        <f t="shared" si="4"/>
        <v/>
      </c>
    </row>
    <row r="133" spans="1:7" ht="15" customHeight="1" x14ac:dyDescent="0.3">
      <c r="A133" s="5"/>
      <c r="B133" s="6"/>
      <c r="C133" s="7"/>
      <c r="D133" s="7"/>
      <c r="E133" s="4"/>
      <c r="F133" s="4" t="str">
        <f t="shared" si="5"/>
        <v/>
      </c>
      <c r="G133" s="1" t="str">
        <f t="shared" si="4"/>
        <v/>
      </c>
    </row>
    <row r="134" spans="1:7" ht="15" customHeight="1" x14ac:dyDescent="0.3">
      <c r="A134" s="5"/>
      <c r="B134" s="6"/>
      <c r="C134" s="7"/>
      <c r="D134" s="7"/>
      <c r="E134" s="4"/>
      <c r="F134" s="4" t="str">
        <f t="shared" si="5"/>
        <v/>
      </c>
      <c r="G134" s="1" t="str">
        <f t="shared" si="4"/>
        <v/>
      </c>
    </row>
    <row r="135" spans="1:7" ht="15" customHeight="1" x14ac:dyDescent="0.3">
      <c r="A135" s="5"/>
      <c r="B135" s="6"/>
      <c r="C135" s="7"/>
      <c r="D135" s="7"/>
      <c r="E135" s="4"/>
      <c r="F135" s="4" t="str">
        <f t="shared" si="5"/>
        <v/>
      </c>
      <c r="G135" s="1" t="str">
        <f t="shared" si="4"/>
        <v/>
      </c>
    </row>
    <row r="136" spans="1:7" ht="15" customHeight="1" x14ac:dyDescent="0.3">
      <c r="A136" s="5"/>
      <c r="B136" s="6"/>
      <c r="C136" s="7"/>
      <c r="D136" s="7"/>
      <c r="E136" s="4"/>
      <c r="F136" s="4" t="str">
        <f t="shared" si="5"/>
        <v/>
      </c>
      <c r="G136" s="1" t="str">
        <f t="shared" si="4"/>
        <v/>
      </c>
    </row>
    <row r="137" spans="1:7" ht="15" customHeight="1" x14ac:dyDescent="0.3">
      <c r="A137" s="5"/>
      <c r="B137" s="6"/>
      <c r="C137" s="7"/>
      <c r="D137" s="7"/>
      <c r="E137" s="4"/>
      <c r="F137" s="4" t="str">
        <f t="shared" si="5"/>
        <v/>
      </c>
      <c r="G137" s="1" t="str">
        <f t="shared" si="4"/>
        <v/>
      </c>
    </row>
    <row r="138" spans="1:7" ht="15" customHeight="1" x14ac:dyDescent="0.3">
      <c r="A138" s="5"/>
      <c r="B138" s="6"/>
      <c r="C138" s="7"/>
      <c r="D138" s="7"/>
      <c r="E138" s="4"/>
      <c r="F138" s="4" t="str">
        <f t="shared" si="5"/>
        <v/>
      </c>
      <c r="G138" s="1" t="str">
        <f t="shared" si="4"/>
        <v/>
      </c>
    </row>
    <row r="139" spans="1:7" ht="15" customHeight="1" x14ac:dyDescent="0.3">
      <c r="A139" s="5"/>
      <c r="B139" s="6"/>
      <c r="C139" s="7"/>
      <c r="D139" s="7"/>
      <c r="E139" s="4"/>
      <c r="F139" s="4" t="str">
        <f t="shared" si="5"/>
        <v/>
      </c>
      <c r="G139" s="1" t="str">
        <f t="shared" si="4"/>
        <v/>
      </c>
    </row>
    <row r="140" spans="1:7" ht="15" customHeight="1" x14ac:dyDescent="0.3">
      <c r="A140" s="5"/>
      <c r="B140" s="6"/>
      <c r="C140" s="7"/>
      <c r="D140" s="7"/>
      <c r="E140" s="4"/>
      <c r="F140" s="4" t="str">
        <f t="shared" si="5"/>
        <v/>
      </c>
      <c r="G140" s="1" t="str">
        <f t="shared" si="4"/>
        <v/>
      </c>
    </row>
    <row r="141" spans="1:7" ht="15" customHeight="1" x14ac:dyDescent="0.3">
      <c r="A141" s="5"/>
      <c r="B141" s="6"/>
      <c r="C141" s="7"/>
      <c r="D141" s="7"/>
      <c r="E141" s="4"/>
      <c r="F141" s="4" t="str">
        <f t="shared" si="5"/>
        <v/>
      </c>
      <c r="G141" s="1" t="str">
        <f t="shared" si="4"/>
        <v/>
      </c>
    </row>
    <row r="142" spans="1:7" ht="15" customHeight="1" x14ac:dyDescent="0.3">
      <c r="A142" s="5"/>
      <c r="B142" s="6"/>
      <c r="C142" s="7"/>
      <c r="D142" s="7"/>
      <c r="E142" s="4"/>
      <c r="F142" s="4" t="str">
        <f t="shared" si="5"/>
        <v/>
      </c>
      <c r="G142" s="1" t="str">
        <f t="shared" si="4"/>
        <v/>
      </c>
    </row>
    <row r="143" spans="1:7" ht="15" customHeight="1" x14ac:dyDescent="0.3">
      <c r="A143" s="5"/>
      <c r="B143" s="6"/>
      <c r="C143" s="7"/>
      <c r="D143" s="7"/>
      <c r="E143" s="4"/>
      <c r="F143" s="4" t="str">
        <f t="shared" si="5"/>
        <v/>
      </c>
      <c r="G143" s="1" t="str">
        <f t="shared" si="4"/>
        <v/>
      </c>
    </row>
    <row r="144" spans="1:7" ht="15" customHeight="1" x14ac:dyDescent="0.3">
      <c r="A144" s="5"/>
      <c r="B144" s="6"/>
      <c r="C144" s="7"/>
      <c r="D144" s="7"/>
      <c r="E144" s="4"/>
      <c r="F144" s="4" t="str">
        <f t="shared" si="5"/>
        <v/>
      </c>
      <c r="G144" s="1" t="str">
        <f t="shared" si="4"/>
        <v/>
      </c>
    </row>
    <row r="145" spans="1:7" ht="15" customHeight="1" x14ac:dyDescent="0.3">
      <c r="A145" s="5"/>
      <c r="B145" s="6"/>
      <c r="C145" s="7"/>
      <c r="D145" s="7"/>
      <c r="E145" s="4"/>
      <c r="F145" s="4" t="str">
        <f t="shared" si="5"/>
        <v/>
      </c>
      <c r="G145" s="1" t="str">
        <f t="shared" si="4"/>
        <v/>
      </c>
    </row>
    <row r="146" spans="1:7" ht="15" customHeight="1" x14ac:dyDescent="0.3">
      <c r="A146" s="5"/>
      <c r="B146" s="6"/>
      <c r="C146" s="7"/>
      <c r="D146" s="7"/>
      <c r="E146" s="4"/>
      <c r="F146" s="4" t="str">
        <f t="shared" si="5"/>
        <v/>
      </c>
      <c r="G146" s="1" t="str">
        <f t="shared" si="4"/>
        <v/>
      </c>
    </row>
    <row r="147" spans="1:7" ht="15" customHeight="1" x14ac:dyDescent="0.3">
      <c r="A147" s="5"/>
      <c r="B147" s="6"/>
      <c r="C147" s="7"/>
      <c r="D147" s="7"/>
      <c r="E147" s="4"/>
      <c r="F147" s="4" t="str">
        <f t="shared" si="5"/>
        <v/>
      </c>
      <c r="G147" s="1" t="str">
        <f t="shared" si="4"/>
        <v/>
      </c>
    </row>
    <row r="148" spans="1:7" ht="15" customHeight="1" x14ac:dyDescent="0.3">
      <c r="A148" s="5"/>
      <c r="B148" s="6"/>
      <c r="C148" s="7"/>
      <c r="D148" s="7"/>
      <c r="E148" s="4"/>
      <c r="F148" s="4" t="str">
        <f t="shared" si="5"/>
        <v/>
      </c>
      <c r="G148" s="1" t="str">
        <f t="shared" si="4"/>
        <v/>
      </c>
    </row>
    <row r="149" spans="1:7" ht="15" customHeight="1" x14ac:dyDescent="0.3">
      <c r="A149" s="5"/>
      <c r="B149" s="6"/>
      <c r="C149" s="7"/>
      <c r="D149" s="7"/>
      <c r="E149" s="4"/>
      <c r="F149" s="4" t="str">
        <f t="shared" si="5"/>
        <v/>
      </c>
      <c r="G149" s="1" t="str">
        <f t="shared" si="4"/>
        <v/>
      </c>
    </row>
    <row r="150" spans="1:7" ht="15" customHeight="1" x14ac:dyDescent="0.3">
      <c r="A150" s="5"/>
      <c r="B150" s="6"/>
      <c r="C150" s="7"/>
      <c r="D150" s="7"/>
      <c r="E150" s="4"/>
      <c r="F150" s="4" t="str">
        <f t="shared" si="5"/>
        <v/>
      </c>
      <c r="G150" s="1" t="str">
        <f t="shared" si="4"/>
        <v/>
      </c>
    </row>
    <row r="151" spans="1:7" ht="15" customHeight="1" x14ac:dyDescent="0.3">
      <c r="A151" s="5"/>
      <c r="B151" s="6"/>
      <c r="C151" s="7"/>
      <c r="D151" s="7"/>
      <c r="E151" s="4"/>
      <c r="F151" s="4" t="str">
        <f t="shared" si="5"/>
        <v/>
      </c>
      <c r="G151" s="1" t="str">
        <f t="shared" si="4"/>
        <v/>
      </c>
    </row>
    <row r="152" spans="1:7" ht="15" customHeight="1" x14ac:dyDescent="0.3">
      <c r="A152" s="5"/>
      <c r="B152" s="6"/>
      <c r="C152" s="7"/>
      <c r="D152" s="7"/>
      <c r="E152" s="4"/>
      <c r="F152" s="4" t="str">
        <f t="shared" si="5"/>
        <v/>
      </c>
      <c r="G152" s="1" t="str">
        <f t="shared" si="4"/>
        <v/>
      </c>
    </row>
    <row r="153" spans="1:7" ht="15" customHeight="1" x14ac:dyDescent="0.3">
      <c r="A153" s="5"/>
      <c r="B153" s="6"/>
      <c r="C153" s="7"/>
      <c r="D153" s="7"/>
      <c r="E153" s="4"/>
      <c r="F153" s="4" t="str">
        <f t="shared" si="5"/>
        <v/>
      </c>
      <c r="G153" s="1" t="str">
        <f t="shared" si="4"/>
        <v/>
      </c>
    </row>
    <row r="154" spans="1:7" ht="15" customHeight="1" x14ac:dyDescent="0.3">
      <c r="A154" s="5"/>
      <c r="B154" s="6"/>
      <c r="C154" s="7"/>
      <c r="D154" s="7"/>
      <c r="E154" s="4"/>
      <c r="F154" s="4" t="str">
        <f t="shared" si="5"/>
        <v/>
      </c>
      <c r="G154" s="1" t="str">
        <f t="shared" si="4"/>
        <v/>
      </c>
    </row>
    <row r="155" spans="1:7" ht="15" customHeight="1" x14ac:dyDescent="0.3">
      <c r="A155" s="5"/>
      <c r="B155" s="6"/>
      <c r="C155" s="7"/>
      <c r="D155" s="7"/>
      <c r="E155" s="4"/>
      <c r="F155" s="4" t="str">
        <f t="shared" si="5"/>
        <v/>
      </c>
      <c r="G155" s="1" t="str">
        <f t="shared" si="4"/>
        <v/>
      </c>
    </row>
    <row r="156" spans="1:7" ht="15" customHeight="1" x14ac:dyDescent="0.3">
      <c r="A156" s="5"/>
      <c r="B156" s="6"/>
      <c r="C156" s="7"/>
      <c r="D156" s="7"/>
      <c r="E156" s="4"/>
      <c r="F156" s="4" t="str">
        <f t="shared" si="5"/>
        <v/>
      </c>
      <c r="G156" s="1" t="str">
        <f t="shared" si="4"/>
        <v/>
      </c>
    </row>
    <row r="157" spans="1:7" ht="15" customHeight="1" x14ac:dyDescent="0.3">
      <c r="A157" s="5"/>
      <c r="B157" s="6"/>
      <c r="C157" s="7"/>
      <c r="D157" s="7"/>
      <c r="E157" s="4"/>
      <c r="F157" s="4" t="str">
        <f t="shared" si="5"/>
        <v/>
      </c>
      <c r="G157" s="1" t="str">
        <f t="shared" si="4"/>
        <v/>
      </c>
    </row>
    <row r="158" spans="1:7" ht="15" customHeight="1" x14ac:dyDescent="0.3">
      <c r="A158" s="5"/>
      <c r="B158" s="6"/>
      <c r="C158" s="7"/>
      <c r="D158" s="7"/>
      <c r="E158" s="4"/>
      <c r="F158" s="4" t="str">
        <f t="shared" si="5"/>
        <v/>
      </c>
      <c r="G158" s="1" t="str">
        <f t="shared" si="4"/>
        <v/>
      </c>
    </row>
    <row r="159" spans="1:7" ht="15" customHeight="1" x14ac:dyDescent="0.3">
      <c r="A159" s="5"/>
      <c r="B159" s="6"/>
      <c r="C159" s="7"/>
      <c r="D159" s="7"/>
      <c r="E159" s="4"/>
      <c r="F159" s="4" t="str">
        <f t="shared" si="5"/>
        <v/>
      </c>
      <c r="G159" s="1" t="str">
        <f t="shared" si="4"/>
        <v/>
      </c>
    </row>
    <row r="160" spans="1:7" ht="15" customHeight="1" x14ac:dyDescent="0.3">
      <c r="A160" s="5"/>
      <c r="B160" s="6"/>
      <c r="C160" s="7"/>
      <c r="D160" s="7"/>
      <c r="E160" s="4"/>
      <c r="F160" s="4" t="str">
        <f t="shared" si="5"/>
        <v/>
      </c>
      <c r="G160" s="1" t="str">
        <f t="shared" si="4"/>
        <v/>
      </c>
    </row>
    <row r="161" spans="1:7" ht="15" customHeight="1" x14ac:dyDescent="0.3">
      <c r="A161" s="5"/>
      <c r="B161" s="6"/>
      <c r="C161" s="7"/>
      <c r="D161" s="7"/>
      <c r="E161" s="4"/>
      <c r="F161" s="4" t="str">
        <f t="shared" si="5"/>
        <v/>
      </c>
      <c r="G161" s="1" t="str">
        <f t="shared" si="4"/>
        <v/>
      </c>
    </row>
    <row r="162" spans="1:7" ht="15" customHeight="1" x14ac:dyDescent="0.3">
      <c r="A162" s="5"/>
      <c r="B162" s="6"/>
      <c r="C162" s="7"/>
      <c r="D162" s="7"/>
      <c r="E162" s="4"/>
      <c r="F162" s="4" t="str">
        <f t="shared" si="5"/>
        <v/>
      </c>
      <c r="G162" s="1" t="str">
        <f t="shared" si="4"/>
        <v/>
      </c>
    </row>
    <row r="163" spans="1:7" ht="15" customHeight="1" x14ac:dyDescent="0.3">
      <c r="A163" s="5"/>
      <c r="B163" s="6"/>
      <c r="C163" s="7"/>
      <c r="D163" s="7"/>
      <c r="E163" s="4"/>
      <c r="F163" s="4" t="str">
        <f t="shared" si="5"/>
        <v/>
      </c>
      <c r="G163" s="1" t="str">
        <f t="shared" si="4"/>
        <v/>
      </c>
    </row>
    <row r="164" spans="1:7" ht="15" customHeight="1" x14ac:dyDescent="0.3">
      <c r="A164" s="5"/>
      <c r="B164" s="6"/>
      <c r="C164" s="7"/>
      <c r="D164" s="7"/>
      <c r="E164" s="4"/>
      <c r="F164" s="4" t="str">
        <f t="shared" si="5"/>
        <v/>
      </c>
      <c r="G164" s="1" t="str">
        <f t="shared" si="4"/>
        <v/>
      </c>
    </row>
    <row r="165" spans="1:7" ht="15" customHeight="1" x14ac:dyDescent="0.3">
      <c r="A165" s="5"/>
      <c r="B165" s="6"/>
      <c r="C165" s="7"/>
      <c r="D165" s="7"/>
      <c r="E165" s="4"/>
      <c r="F165" s="4" t="str">
        <f t="shared" si="5"/>
        <v/>
      </c>
      <c r="G165" s="1" t="str">
        <f t="shared" si="4"/>
        <v/>
      </c>
    </row>
    <row r="166" spans="1:7" ht="15" customHeight="1" x14ac:dyDescent="0.3">
      <c r="A166" s="5"/>
      <c r="B166" s="6"/>
      <c r="C166" s="7"/>
      <c r="D166" s="7"/>
      <c r="E166" s="4"/>
      <c r="F166" s="4" t="str">
        <f t="shared" si="5"/>
        <v/>
      </c>
      <c r="G166" s="1" t="str">
        <f t="shared" si="4"/>
        <v/>
      </c>
    </row>
    <row r="167" spans="1:7" ht="15" customHeight="1" x14ac:dyDescent="0.3">
      <c r="A167" s="5"/>
      <c r="B167" s="6"/>
      <c r="C167" s="7"/>
      <c r="D167" s="7"/>
      <c r="E167" s="4"/>
      <c r="F167" s="4" t="str">
        <f t="shared" si="5"/>
        <v/>
      </c>
      <c r="G167" s="1" t="str">
        <f t="shared" si="4"/>
        <v/>
      </c>
    </row>
    <row r="168" spans="1:7" ht="15" customHeight="1" x14ac:dyDescent="0.3">
      <c r="A168" s="5"/>
      <c r="B168" s="6"/>
      <c r="C168" s="7"/>
      <c r="D168" s="7"/>
      <c r="E168" s="4"/>
      <c r="F168" s="4" t="str">
        <f t="shared" si="5"/>
        <v/>
      </c>
      <c r="G168" s="1" t="str">
        <f t="shared" si="4"/>
        <v/>
      </c>
    </row>
    <row r="169" spans="1:7" ht="15" customHeight="1" x14ac:dyDescent="0.3">
      <c r="A169" s="5"/>
      <c r="B169" s="6"/>
      <c r="C169" s="7"/>
      <c r="D169" s="7"/>
      <c r="E169" s="4"/>
      <c r="F169" s="4" t="str">
        <f t="shared" si="5"/>
        <v/>
      </c>
      <c r="G169" s="1" t="str">
        <f t="shared" si="4"/>
        <v/>
      </c>
    </row>
    <row r="170" spans="1:7" ht="15" customHeight="1" x14ac:dyDescent="0.3">
      <c r="A170" s="5"/>
      <c r="B170" s="6"/>
      <c r="C170" s="7"/>
      <c r="D170" s="7"/>
      <c r="E170" s="4"/>
      <c r="F170" s="4" t="str">
        <f t="shared" si="5"/>
        <v/>
      </c>
      <c r="G170" s="1" t="str">
        <f t="shared" si="4"/>
        <v/>
      </c>
    </row>
    <row r="171" spans="1:7" ht="15" customHeight="1" x14ac:dyDescent="0.3">
      <c r="A171" s="5"/>
      <c r="B171" s="6"/>
      <c r="C171" s="7"/>
      <c r="D171" s="7"/>
      <c r="E171" s="4"/>
      <c r="F171" s="4" t="str">
        <f t="shared" si="5"/>
        <v/>
      </c>
      <c r="G171" s="1" t="str">
        <f t="shared" si="4"/>
        <v/>
      </c>
    </row>
    <row r="172" spans="1:7" ht="15" customHeight="1" x14ac:dyDescent="0.3">
      <c r="A172" s="5"/>
      <c r="B172" s="6"/>
      <c r="C172" s="7"/>
      <c r="D172" s="7"/>
      <c r="E172" s="4"/>
      <c r="F172" s="4" t="str">
        <f t="shared" si="5"/>
        <v/>
      </c>
      <c r="G172" s="1" t="str">
        <f t="shared" si="4"/>
        <v/>
      </c>
    </row>
    <row r="173" spans="1:7" ht="15" customHeight="1" x14ac:dyDescent="0.3">
      <c r="A173" s="5"/>
      <c r="B173" s="6"/>
      <c r="C173" s="7"/>
      <c r="D173" s="7"/>
      <c r="E173" s="4"/>
      <c r="F173" s="4" t="str">
        <f t="shared" si="5"/>
        <v/>
      </c>
      <c r="G173" s="1" t="str">
        <f t="shared" si="4"/>
        <v/>
      </c>
    </row>
    <row r="174" spans="1:7" ht="15" customHeight="1" x14ac:dyDescent="0.3">
      <c r="A174" s="5"/>
      <c r="B174" s="6"/>
      <c r="C174" s="7"/>
      <c r="D174" s="7"/>
      <c r="E174" s="4"/>
      <c r="F174" s="4" t="str">
        <f t="shared" si="5"/>
        <v/>
      </c>
      <c r="G174" s="1" t="str">
        <f t="shared" si="4"/>
        <v/>
      </c>
    </row>
    <row r="175" spans="1:7" ht="15" customHeight="1" x14ac:dyDescent="0.3">
      <c r="A175" s="5"/>
      <c r="B175" s="6"/>
      <c r="C175" s="7"/>
      <c r="D175" s="7"/>
      <c r="E175" s="4"/>
      <c r="F175" s="4" t="str">
        <f t="shared" si="5"/>
        <v/>
      </c>
      <c r="G175" s="1" t="str">
        <f t="shared" si="4"/>
        <v/>
      </c>
    </row>
    <row r="176" spans="1:7" ht="15" customHeight="1" x14ac:dyDescent="0.3">
      <c r="A176" s="5"/>
      <c r="B176" s="6"/>
      <c r="C176" s="7"/>
      <c r="D176" s="7"/>
      <c r="E176" s="4"/>
      <c r="F176" s="4" t="str">
        <f t="shared" si="5"/>
        <v/>
      </c>
      <c r="G176" s="1" t="str">
        <f t="shared" si="4"/>
        <v/>
      </c>
    </row>
    <row r="177" spans="1:7" ht="15" customHeight="1" x14ac:dyDescent="0.3">
      <c r="A177" s="5"/>
      <c r="B177" s="6"/>
      <c r="C177" s="7"/>
      <c r="D177" s="7"/>
      <c r="E177" s="4"/>
      <c r="F177" s="4" t="str">
        <f t="shared" si="5"/>
        <v/>
      </c>
      <c r="G177" s="1" t="str">
        <f t="shared" si="4"/>
        <v/>
      </c>
    </row>
    <row r="178" spans="1:7" ht="15" customHeight="1" x14ac:dyDescent="0.3">
      <c r="A178" s="5"/>
      <c r="B178" s="6"/>
      <c r="C178" s="7"/>
      <c r="D178" s="7"/>
      <c r="E178" s="4"/>
      <c r="F178" s="4" t="str">
        <f t="shared" si="5"/>
        <v/>
      </c>
      <c r="G178" s="1" t="str">
        <f t="shared" si="4"/>
        <v/>
      </c>
    </row>
    <row r="179" spans="1:7" ht="15" customHeight="1" x14ac:dyDescent="0.3">
      <c r="A179" s="5"/>
      <c r="B179" s="6"/>
      <c r="C179" s="7"/>
      <c r="D179" s="7"/>
      <c r="E179" s="4"/>
      <c r="F179" s="4" t="str">
        <f t="shared" si="5"/>
        <v/>
      </c>
      <c r="G179" s="1" t="str">
        <f t="shared" si="4"/>
        <v/>
      </c>
    </row>
    <row r="180" spans="1:7" ht="15" customHeight="1" x14ac:dyDescent="0.3">
      <c r="A180" s="5"/>
      <c r="B180" s="6"/>
      <c r="C180" s="7"/>
      <c r="D180" s="7"/>
      <c r="E180" s="4"/>
      <c r="F180" s="4" t="str">
        <f t="shared" si="5"/>
        <v/>
      </c>
      <c r="G180" s="1" t="str">
        <f t="shared" si="4"/>
        <v/>
      </c>
    </row>
    <row r="181" spans="1:7" ht="15" customHeight="1" x14ac:dyDescent="0.3">
      <c r="A181" s="5"/>
      <c r="B181" s="6"/>
      <c r="C181" s="7"/>
      <c r="D181" s="7"/>
      <c r="E181" s="4"/>
      <c r="F181" s="4" t="str">
        <f t="shared" si="5"/>
        <v/>
      </c>
      <c r="G181" s="1" t="str">
        <f t="shared" si="4"/>
        <v/>
      </c>
    </row>
    <row r="182" spans="1:7" ht="15" customHeight="1" x14ac:dyDescent="0.3">
      <c r="A182" s="5"/>
      <c r="B182" s="6"/>
      <c r="C182" s="7"/>
      <c r="D182" s="7"/>
      <c r="E182" s="4"/>
      <c r="F182" s="4" t="str">
        <f t="shared" si="5"/>
        <v/>
      </c>
      <c r="G182" s="1" t="str">
        <f t="shared" si="4"/>
        <v/>
      </c>
    </row>
    <row r="183" spans="1:7" ht="15" customHeight="1" x14ac:dyDescent="0.3">
      <c r="A183" s="5"/>
      <c r="B183" s="6"/>
      <c r="C183" s="7"/>
      <c r="D183" s="7"/>
      <c r="E183" s="4"/>
      <c r="F183" s="4" t="str">
        <f t="shared" si="5"/>
        <v/>
      </c>
      <c r="G183" s="1" t="str">
        <f t="shared" si="4"/>
        <v/>
      </c>
    </row>
    <row r="184" spans="1:7" ht="15" customHeight="1" x14ac:dyDescent="0.3">
      <c r="A184" s="5"/>
      <c r="B184" s="6"/>
      <c r="C184" s="7"/>
      <c r="D184" s="7"/>
      <c r="E184" s="4"/>
      <c r="F184" s="4" t="str">
        <f t="shared" si="5"/>
        <v/>
      </c>
      <c r="G184" s="1" t="str">
        <f t="shared" si="4"/>
        <v/>
      </c>
    </row>
    <row r="185" spans="1:7" ht="15" customHeight="1" x14ac:dyDescent="0.3">
      <c r="A185" s="5"/>
      <c r="B185" s="6"/>
      <c r="C185" s="7"/>
      <c r="D185" s="7"/>
      <c r="E185" s="4"/>
      <c r="F185" s="4" t="str">
        <f t="shared" si="5"/>
        <v/>
      </c>
      <c r="G185" s="1" t="str">
        <f t="shared" ref="G185:G248" si="6">IF(A185&lt;&gt;"",MONTH(A185),"")</f>
        <v/>
      </c>
    </row>
    <row r="186" spans="1:7" ht="15" customHeight="1" x14ac:dyDescent="0.3">
      <c r="A186" s="5"/>
      <c r="B186" s="6"/>
      <c r="C186" s="7"/>
      <c r="D186" s="7"/>
      <c r="E186" s="4"/>
      <c r="F186" s="4" t="str">
        <f t="shared" ref="F186:F249" si="7">IF(AND(D186&lt;&gt;"",E186&lt;&gt;""),D186*E186,"")</f>
        <v/>
      </c>
      <c r="G186" s="1" t="str">
        <f t="shared" si="6"/>
        <v/>
      </c>
    </row>
    <row r="187" spans="1:7" ht="15" customHeight="1" x14ac:dyDescent="0.3">
      <c r="A187" s="5"/>
      <c r="B187" s="6"/>
      <c r="C187" s="7"/>
      <c r="D187" s="7"/>
      <c r="E187" s="4"/>
      <c r="F187" s="4" t="str">
        <f t="shared" si="7"/>
        <v/>
      </c>
      <c r="G187" s="1" t="str">
        <f t="shared" si="6"/>
        <v/>
      </c>
    </row>
    <row r="188" spans="1:7" ht="15" customHeight="1" x14ac:dyDescent="0.3">
      <c r="A188" s="5"/>
      <c r="B188" s="6"/>
      <c r="C188" s="7"/>
      <c r="D188" s="7"/>
      <c r="E188" s="4"/>
      <c r="F188" s="4" t="str">
        <f t="shared" si="7"/>
        <v/>
      </c>
      <c r="G188" s="1" t="str">
        <f t="shared" si="6"/>
        <v/>
      </c>
    </row>
    <row r="189" spans="1:7" ht="15" customHeight="1" x14ac:dyDescent="0.3">
      <c r="A189" s="5"/>
      <c r="B189" s="6"/>
      <c r="C189" s="7"/>
      <c r="D189" s="7"/>
      <c r="E189" s="4"/>
      <c r="F189" s="4" t="str">
        <f t="shared" si="7"/>
        <v/>
      </c>
      <c r="G189" s="1" t="str">
        <f t="shared" si="6"/>
        <v/>
      </c>
    </row>
    <row r="190" spans="1:7" ht="15" customHeight="1" x14ac:dyDescent="0.3">
      <c r="A190" s="5"/>
      <c r="B190" s="6"/>
      <c r="C190" s="7"/>
      <c r="D190" s="7"/>
      <c r="E190" s="4"/>
      <c r="F190" s="4" t="str">
        <f t="shared" si="7"/>
        <v/>
      </c>
      <c r="G190" s="1" t="str">
        <f t="shared" si="6"/>
        <v/>
      </c>
    </row>
    <row r="191" spans="1:7" ht="15" customHeight="1" x14ac:dyDescent="0.3">
      <c r="A191" s="5"/>
      <c r="B191" s="6"/>
      <c r="C191" s="7"/>
      <c r="D191" s="7"/>
      <c r="E191" s="4"/>
      <c r="F191" s="4" t="str">
        <f t="shared" si="7"/>
        <v/>
      </c>
      <c r="G191" s="1" t="str">
        <f t="shared" si="6"/>
        <v/>
      </c>
    </row>
    <row r="192" spans="1:7" ht="15" customHeight="1" x14ac:dyDescent="0.3">
      <c r="A192" s="5"/>
      <c r="B192" s="6"/>
      <c r="C192" s="7"/>
      <c r="D192" s="7"/>
      <c r="E192" s="4"/>
      <c r="F192" s="4" t="str">
        <f t="shared" si="7"/>
        <v/>
      </c>
      <c r="G192" s="1" t="str">
        <f t="shared" si="6"/>
        <v/>
      </c>
    </row>
    <row r="193" spans="1:7" ht="15" customHeight="1" x14ac:dyDescent="0.3">
      <c r="A193" s="5"/>
      <c r="B193" s="6"/>
      <c r="C193" s="7"/>
      <c r="D193" s="7"/>
      <c r="E193" s="4"/>
      <c r="F193" s="4" t="str">
        <f t="shared" si="7"/>
        <v/>
      </c>
      <c r="G193" s="1" t="str">
        <f t="shared" si="6"/>
        <v/>
      </c>
    </row>
    <row r="194" spans="1:7" ht="15" customHeight="1" x14ac:dyDescent="0.3">
      <c r="A194" s="5"/>
      <c r="B194" s="6"/>
      <c r="C194" s="7"/>
      <c r="D194" s="7"/>
      <c r="E194" s="4"/>
      <c r="F194" s="4" t="str">
        <f t="shared" si="7"/>
        <v/>
      </c>
      <c r="G194" s="1" t="str">
        <f t="shared" si="6"/>
        <v/>
      </c>
    </row>
    <row r="195" spans="1:7" ht="15" customHeight="1" x14ac:dyDescent="0.3">
      <c r="A195" s="5"/>
      <c r="B195" s="6"/>
      <c r="C195" s="7"/>
      <c r="D195" s="7"/>
      <c r="E195" s="4"/>
      <c r="F195" s="4" t="str">
        <f t="shared" si="7"/>
        <v/>
      </c>
      <c r="G195" s="1" t="str">
        <f t="shared" si="6"/>
        <v/>
      </c>
    </row>
    <row r="196" spans="1:7" ht="15" customHeight="1" x14ac:dyDescent="0.3">
      <c r="A196" s="5"/>
      <c r="B196" s="6"/>
      <c r="C196" s="7"/>
      <c r="D196" s="7"/>
      <c r="E196" s="4"/>
      <c r="F196" s="4" t="str">
        <f t="shared" si="7"/>
        <v/>
      </c>
      <c r="G196" s="1" t="str">
        <f t="shared" si="6"/>
        <v/>
      </c>
    </row>
    <row r="197" spans="1:7" ht="15" customHeight="1" x14ac:dyDescent="0.3">
      <c r="A197" s="5"/>
      <c r="B197" s="6"/>
      <c r="C197" s="7"/>
      <c r="D197" s="7"/>
      <c r="E197" s="4"/>
      <c r="F197" s="4" t="str">
        <f t="shared" si="7"/>
        <v/>
      </c>
      <c r="G197" s="1" t="str">
        <f t="shared" si="6"/>
        <v/>
      </c>
    </row>
    <row r="198" spans="1:7" ht="15" customHeight="1" x14ac:dyDescent="0.3">
      <c r="A198" s="5"/>
      <c r="B198" s="6"/>
      <c r="C198" s="7"/>
      <c r="D198" s="7"/>
      <c r="E198" s="4"/>
      <c r="F198" s="4" t="str">
        <f t="shared" si="7"/>
        <v/>
      </c>
      <c r="G198" s="1" t="str">
        <f t="shared" si="6"/>
        <v/>
      </c>
    </row>
    <row r="199" spans="1:7" ht="15" customHeight="1" x14ac:dyDescent="0.3">
      <c r="A199" s="5"/>
      <c r="B199" s="6"/>
      <c r="C199" s="7"/>
      <c r="D199" s="7"/>
      <c r="E199" s="4"/>
      <c r="F199" s="4" t="str">
        <f t="shared" si="7"/>
        <v/>
      </c>
      <c r="G199" s="1" t="str">
        <f t="shared" si="6"/>
        <v/>
      </c>
    </row>
    <row r="200" spans="1:7" ht="15" customHeight="1" x14ac:dyDescent="0.3">
      <c r="A200" s="5"/>
      <c r="B200" s="6"/>
      <c r="C200" s="7"/>
      <c r="D200" s="7"/>
      <c r="E200" s="4"/>
      <c r="F200" s="4" t="str">
        <f t="shared" si="7"/>
        <v/>
      </c>
      <c r="G200" s="1" t="str">
        <f t="shared" si="6"/>
        <v/>
      </c>
    </row>
    <row r="201" spans="1:7" ht="15" customHeight="1" x14ac:dyDescent="0.3">
      <c r="A201" s="5"/>
      <c r="B201" s="6"/>
      <c r="C201" s="7"/>
      <c r="D201" s="7"/>
      <c r="E201" s="4"/>
      <c r="F201" s="4" t="str">
        <f t="shared" si="7"/>
        <v/>
      </c>
      <c r="G201" s="1" t="str">
        <f t="shared" si="6"/>
        <v/>
      </c>
    </row>
    <row r="202" spans="1:7" ht="15" customHeight="1" x14ac:dyDescent="0.3">
      <c r="A202" s="5"/>
      <c r="B202" s="6"/>
      <c r="C202" s="7"/>
      <c r="D202" s="7"/>
      <c r="E202" s="4"/>
      <c r="F202" s="4" t="str">
        <f t="shared" si="7"/>
        <v/>
      </c>
      <c r="G202" s="1" t="str">
        <f t="shared" si="6"/>
        <v/>
      </c>
    </row>
    <row r="203" spans="1:7" ht="15" customHeight="1" x14ac:dyDescent="0.3">
      <c r="A203" s="5"/>
      <c r="B203" s="6"/>
      <c r="C203" s="7"/>
      <c r="D203" s="7"/>
      <c r="E203" s="4"/>
      <c r="F203" s="4" t="str">
        <f t="shared" si="7"/>
        <v/>
      </c>
      <c r="G203" s="1" t="str">
        <f t="shared" si="6"/>
        <v/>
      </c>
    </row>
    <row r="204" spans="1:7" ht="15" customHeight="1" x14ac:dyDescent="0.3">
      <c r="A204" s="5"/>
      <c r="B204" s="6"/>
      <c r="C204" s="7"/>
      <c r="D204" s="7"/>
      <c r="E204" s="4"/>
      <c r="F204" s="4" t="str">
        <f t="shared" si="7"/>
        <v/>
      </c>
      <c r="G204" s="1" t="str">
        <f t="shared" si="6"/>
        <v/>
      </c>
    </row>
    <row r="205" spans="1:7" ht="15" customHeight="1" x14ac:dyDescent="0.3">
      <c r="A205" s="5"/>
      <c r="B205" s="6"/>
      <c r="C205" s="7"/>
      <c r="D205" s="7"/>
      <c r="E205" s="4"/>
      <c r="F205" s="4" t="str">
        <f t="shared" si="7"/>
        <v/>
      </c>
      <c r="G205" s="1" t="str">
        <f t="shared" si="6"/>
        <v/>
      </c>
    </row>
    <row r="206" spans="1:7" ht="15" customHeight="1" x14ac:dyDescent="0.3">
      <c r="A206" s="5"/>
      <c r="B206" s="6"/>
      <c r="C206" s="7"/>
      <c r="D206" s="7"/>
      <c r="E206" s="4"/>
      <c r="F206" s="4" t="str">
        <f t="shared" si="7"/>
        <v/>
      </c>
      <c r="G206" s="1" t="str">
        <f t="shared" si="6"/>
        <v/>
      </c>
    </row>
    <row r="207" spans="1:7" ht="15" customHeight="1" x14ac:dyDescent="0.3">
      <c r="A207" s="5"/>
      <c r="B207" s="6"/>
      <c r="C207" s="7"/>
      <c r="D207" s="7"/>
      <c r="E207" s="4"/>
      <c r="F207" s="4" t="str">
        <f t="shared" si="7"/>
        <v/>
      </c>
      <c r="G207" s="1" t="str">
        <f t="shared" si="6"/>
        <v/>
      </c>
    </row>
    <row r="208" spans="1:7" ht="15" customHeight="1" x14ac:dyDescent="0.3">
      <c r="A208" s="5"/>
      <c r="B208" s="6"/>
      <c r="C208" s="7"/>
      <c r="D208" s="7"/>
      <c r="E208" s="4"/>
      <c r="F208" s="4" t="str">
        <f t="shared" si="7"/>
        <v/>
      </c>
      <c r="G208" s="1" t="str">
        <f t="shared" si="6"/>
        <v/>
      </c>
    </row>
    <row r="209" spans="1:7" ht="15" customHeight="1" x14ac:dyDescent="0.3">
      <c r="A209" s="5"/>
      <c r="B209" s="6"/>
      <c r="C209" s="7"/>
      <c r="D209" s="7"/>
      <c r="E209" s="4"/>
      <c r="F209" s="4" t="str">
        <f t="shared" si="7"/>
        <v/>
      </c>
      <c r="G209" s="1" t="str">
        <f t="shared" si="6"/>
        <v/>
      </c>
    </row>
    <row r="210" spans="1:7" ht="15" customHeight="1" x14ac:dyDescent="0.3">
      <c r="A210" s="5"/>
      <c r="B210" s="6"/>
      <c r="C210" s="7"/>
      <c r="D210" s="7"/>
      <c r="E210" s="4"/>
      <c r="F210" s="4" t="str">
        <f t="shared" si="7"/>
        <v/>
      </c>
      <c r="G210" s="1" t="str">
        <f t="shared" si="6"/>
        <v/>
      </c>
    </row>
    <row r="211" spans="1:7" ht="15" customHeight="1" x14ac:dyDescent="0.3">
      <c r="A211" s="5"/>
      <c r="B211" s="6"/>
      <c r="C211" s="7"/>
      <c r="D211" s="7"/>
      <c r="E211" s="4"/>
      <c r="F211" s="4" t="str">
        <f t="shared" si="7"/>
        <v/>
      </c>
      <c r="G211" s="1" t="str">
        <f t="shared" si="6"/>
        <v/>
      </c>
    </row>
    <row r="212" spans="1:7" ht="15" customHeight="1" x14ac:dyDescent="0.3">
      <c r="A212" s="5"/>
      <c r="B212" s="6"/>
      <c r="C212" s="7"/>
      <c r="D212" s="7"/>
      <c r="E212" s="4"/>
      <c r="F212" s="4" t="str">
        <f t="shared" si="7"/>
        <v/>
      </c>
      <c r="G212" s="1" t="str">
        <f t="shared" si="6"/>
        <v/>
      </c>
    </row>
    <row r="213" spans="1:7" ht="15" customHeight="1" x14ac:dyDescent="0.3">
      <c r="A213" s="5"/>
      <c r="B213" s="6"/>
      <c r="C213" s="7"/>
      <c r="D213" s="7"/>
      <c r="E213" s="4"/>
      <c r="F213" s="4" t="str">
        <f t="shared" si="7"/>
        <v/>
      </c>
      <c r="G213" s="1" t="str">
        <f t="shared" si="6"/>
        <v/>
      </c>
    </row>
    <row r="214" spans="1:7" ht="15" customHeight="1" x14ac:dyDescent="0.3">
      <c r="A214" s="5"/>
      <c r="B214" s="6"/>
      <c r="C214" s="7"/>
      <c r="D214" s="7"/>
      <c r="E214" s="4"/>
      <c r="F214" s="4" t="str">
        <f t="shared" si="7"/>
        <v/>
      </c>
      <c r="G214" s="1" t="str">
        <f t="shared" si="6"/>
        <v/>
      </c>
    </row>
    <row r="215" spans="1:7" ht="15" customHeight="1" x14ac:dyDescent="0.3">
      <c r="A215" s="5"/>
      <c r="B215" s="6"/>
      <c r="C215" s="7"/>
      <c r="D215" s="7"/>
      <c r="E215" s="4"/>
      <c r="F215" s="4" t="str">
        <f t="shared" si="7"/>
        <v/>
      </c>
      <c r="G215" s="1" t="str">
        <f t="shared" si="6"/>
        <v/>
      </c>
    </row>
    <row r="216" spans="1:7" ht="15" customHeight="1" x14ac:dyDescent="0.3">
      <c r="A216" s="5"/>
      <c r="B216" s="6"/>
      <c r="C216" s="7"/>
      <c r="D216" s="7"/>
      <c r="E216" s="4"/>
      <c r="F216" s="4" t="str">
        <f t="shared" si="7"/>
        <v/>
      </c>
      <c r="G216" s="1" t="str">
        <f t="shared" si="6"/>
        <v/>
      </c>
    </row>
    <row r="217" spans="1:7" ht="15" customHeight="1" x14ac:dyDescent="0.3">
      <c r="A217" s="5"/>
      <c r="B217" s="6"/>
      <c r="C217" s="7"/>
      <c r="D217" s="7"/>
      <c r="E217" s="4"/>
      <c r="F217" s="4" t="str">
        <f t="shared" si="7"/>
        <v/>
      </c>
      <c r="G217" s="1" t="str">
        <f t="shared" si="6"/>
        <v/>
      </c>
    </row>
    <row r="218" spans="1:7" ht="15" customHeight="1" x14ac:dyDescent="0.3">
      <c r="A218" s="5"/>
      <c r="B218" s="6"/>
      <c r="C218" s="7"/>
      <c r="D218" s="7"/>
      <c r="E218" s="4"/>
      <c r="F218" s="4" t="str">
        <f t="shared" si="7"/>
        <v/>
      </c>
      <c r="G218" s="1" t="str">
        <f t="shared" si="6"/>
        <v/>
      </c>
    </row>
    <row r="219" spans="1:7" ht="15" customHeight="1" x14ac:dyDescent="0.3">
      <c r="A219" s="5"/>
      <c r="B219" s="6"/>
      <c r="C219" s="7"/>
      <c r="D219" s="7"/>
      <c r="E219" s="4"/>
      <c r="F219" s="4" t="str">
        <f t="shared" si="7"/>
        <v/>
      </c>
      <c r="G219" s="1" t="str">
        <f t="shared" si="6"/>
        <v/>
      </c>
    </row>
    <row r="220" spans="1:7" ht="15" customHeight="1" x14ac:dyDescent="0.3">
      <c r="A220" s="5"/>
      <c r="B220" s="6"/>
      <c r="C220" s="7"/>
      <c r="D220" s="7"/>
      <c r="E220" s="4"/>
      <c r="F220" s="4" t="str">
        <f t="shared" si="7"/>
        <v/>
      </c>
      <c r="G220" s="1" t="str">
        <f t="shared" si="6"/>
        <v/>
      </c>
    </row>
    <row r="221" spans="1:7" ht="15" customHeight="1" x14ac:dyDescent="0.3">
      <c r="A221" s="5"/>
      <c r="B221" s="6"/>
      <c r="C221" s="7"/>
      <c r="D221" s="7"/>
      <c r="E221" s="4"/>
      <c r="F221" s="4" t="str">
        <f t="shared" si="7"/>
        <v/>
      </c>
      <c r="G221" s="1" t="str">
        <f t="shared" si="6"/>
        <v/>
      </c>
    </row>
    <row r="222" spans="1:7" ht="15" customHeight="1" x14ac:dyDescent="0.3">
      <c r="A222" s="5"/>
      <c r="B222" s="6"/>
      <c r="C222" s="7"/>
      <c r="D222" s="7"/>
      <c r="E222" s="4"/>
      <c r="F222" s="4" t="str">
        <f t="shared" si="7"/>
        <v/>
      </c>
      <c r="G222" s="1" t="str">
        <f t="shared" si="6"/>
        <v/>
      </c>
    </row>
    <row r="223" spans="1:7" ht="15" customHeight="1" x14ac:dyDescent="0.3">
      <c r="A223" s="5"/>
      <c r="B223" s="6"/>
      <c r="C223" s="7"/>
      <c r="D223" s="7"/>
      <c r="E223" s="4"/>
      <c r="F223" s="4" t="str">
        <f t="shared" si="7"/>
        <v/>
      </c>
      <c r="G223" s="1" t="str">
        <f t="shared" si="6"/>
        <v/>
      </c>
    </row>
    <row r="224" spans="1:7" ht="15" customHeight="1" x14ac:dyDescent="0.3">
      <c r="A224" s="5"/>
      <c r="B224" s="6"/>
      <c r="C224" s="7"/>
      <c r="D224" s="7"/>
      <c r="E224" s="4"/>
      <c r="F224" s="4" t="str">
        <f t="shared" si="7"/>
        <v/>
      </c>
      <c r="G224" s="1" t="str">
        <f t="shared" si="6"/>
        <v/>
      </c>
    </row>
    <row r="225" spans="1:7" ht="15" customHeight="1" x14ac:dyDescent="0.3">
      <c r="A225" s="5"/>
      <c r="B225" s="6"/>
      <c r="C225" s="7"/>
      <c r="D225" s="7"/>
      <c r="E225" s="4"/>
      <c r="F225" s="4" t="str">
        <f t="shared" si="7"/>
        <v/>
      </c>
      <c r="G225" s="1" t="str">
        <f t="shared" si="6"/>
        <v/>
      </c>
    </row>
    <row r="226" spans="1:7" ht="15" customHeight="1" x14ac:dyDescent="0.3">
      <c r="A226" s="5"/>
      <c r="B226" s="6"/>
      <c r="C226" s="7"/>
      <c r="D226" s="7"/>
      <c r="E226" s="4"/>
      <c r="F226" s="4" t="str">
        <f t="shared" si="7"/>
        <v/>
      </c>
      <c r="G226" s="1" t="str">
        <f t="shared" si="6"/>
        <v/>
      </c>
    </row>
    <row r="227" spans="1:7" ht="15" customHeight="1" x14ac:dyDescent="0.3">
      <c r="A227" s="5"/>
      <c r="B227" s="6"/>
      <c r="C227" s="7"/>
      <c r="D227" s="7"/>
      <c r="E227" s="4"/>
      <c r="F227" s="4" t="str">
        <f t="shared" si="7"/>
        <v/>
      </c>
      <c r="G227" s="1" t="str">
        <f t="shared" si="6"/>
        <v/>
      </c>
    </row>
    <row r="228" spans="1:7" ht="15" customHeight="1" x14ac:dyDescent="0.3">
      <c r="A228" s="5"/>
      <c r="B228" s="6"/>
      <c r="C228" s="7"/>
      <c r="D228" s="7"/>
      <c r="E228" s="4"/>
      <c r="F228" s="4" t="str">
        <f t="shared" si="7"/>
        <v/>
      </c>
      <c r="G228" s="1" t="str">
        <f t="shared" si="6"/>
        <v/>
      </c>
    </row>
    <row r="229" spans="1:7" ht="15" customHeight="1" x14ac:dyDescent="0.3">
      <c r="A229" s="5"/>
      <c r="B229" s="6"/>
      <c r="C229" s="7"/>
      <c r="D229" s="7"/>
      <c r="E229" s="4"/>
      <c r="F229" s="4" t="str">
        <f t="shared" si="7"/>
        <v/>
      </c>
      <c r="G229" s="1" t="str">
        <f t="shared" si="6"/>
        <v/>
      </c>
    </row>
    <row r="230" spans="1:7" ht="15" customHeight="1" x14ac:dyDescent="0.3">
      <c r="A230" s="5"/>
      <c r="B230" s="6"/>
      <c r="C230" s="7"/>
      <c r="D230" s="7"/>
      <c r="E230" s="4"/>
      <c r="F230" s="4" t="str">
        <f t="shared" si="7"/>
        <v/>
      </c>
      <c r="G230" s="1" t="str">
        <f t="shared" si="6"/>
        <v/>
      </c>
    </row>
    <row r="231" spans="1:7" ht="15" customHeight="1" x14ac:dyDescent="0.3">
      <c r="A231" s="5"/>
      <c r="B231" s="6"/>
      <c r="C231" s="7"/>
      <c r="D231" s="7"/>
      <c r="E231" s="4"/>
      <c r="F231" s="4" t="str">
        <f t="shared" si="7"/>
        <v/>
      </c>
      <c r="G231" s="1" t="str">
        <f t="shared" si="6"/>
        <v/>
      </c>
    </row>
    <row r="232" spans="1:7" ht="15" customHeight="1" x14ac:dyDescent="0.3">
      <c r="A232" s="5"/>
      <c r="B232" s="6"/>
      <c r="C232" s="7"/>
      <c r="D232" s="7"/>
      <c r="E232" s="4"/>
      <c r="F232" s="4" t="str">
        <f t="shared" si="7"/>
        <v/>
      </c>
      <c r="G232" s="1" t="str">
        <f t="shared" si="6"/>
        <v/>
      </c>
    </row>
    <row r="233" spans="1:7" ht="15" customHeight="1" x14ac:dyDescent="0.3">
      <c r="A233" s="5"/>
      <c r="B233" s="6"/>
      <c r="C233" s="7"/>
      <c r="D233" s="7"/>
      <c r="E233" s="4"/>
      <c r="F233" s="4" t="str">
        <f t="shared" si="7"/>
        <v/>
      </c>
      <c r="G233" s="1" t="str">
        <f t="shared" si="6"/>
        <v/>
      </c>
    </row>
    <row r="234" spans="1:7" ht="15" customHeight="1" x14ac:dyDescent="0.3">
      <c r="A234" s="5"/>
      <c r="B234" s="6"/>
      <c r="C234" s="7"/>
      <c r="D234" s="7"/>
      <c r="E234" s="4"/>
      <c r="F234" s="4" t="str">
        <f t="shared" si="7"/>
        <v/>
      </c>
      <c r="G234" s="1" t="str">
        <f t="shared" si="6"/>
        <v/>
      </c>
    </row>
    <row r="235" spans="1:7" ht="15" customHeight="1" x14ac:dyDescent="0.3">
      <c r="A235" s="5"/>
      <c r="B235" s="6"/>
      <c r="C235" s="7"/>
      <c r="D235" s="7"/>
      <c r="E235" s="4"/>
      <c r="F235" s="4" t="str">
        <f t="shared" si="7"/>
        <v/>
      </c>
      <c r="G235" s="1" t="str">
        <f t="shared" si="6"/>
        <v/>
      </c>
    </row>
    <row r="236" spans="1:7" ht="15" customHeight="1" x14ac:dyDescent="0.3">
      <c r="A236" s="5"/>
      <c r="B236" s="6"/>
      <c r="C236" s="7"/>
      <c r="D236" s="7"/>
      <c r="E236" s="4"/>
      <c r="F236" s="4" t="str">
        <f t="shared" si="7"/>
        <v/>
      </c>
      <c r="G236" s="1" t="str">
        <f t="shared" si="6"/>
        <v/>
      </c>
    </row>
    <row r="237" spans="1:7" ht="15" customHeight="1" x14ac:dyDescent="0.3">
      <c r="A237" s="5"/>
      <c r="B237" s="6"/>
      <c r="C237" s="7"/>
      <c r="D237" s="7"/>
      <c r="E237" s="4"/>
      <c r="F237" s="4" t="str">
        <f t="shared" si="7"/>
        <v/>
      </c>
      <c r="G237" s="1" t="str">
        <f t="shared" si="6"/>
        <v/>
      </c>
    </row>
    <row r="238" spans="1:7" ht="15" customHeight="1" x14ac:dyDescent="0.3">
      <c r="A238" s="5"/>
      <c r="B238" s="6"/>
      <c r="C238" s="7"/>
      <c r="D238" s="7"/>
      <c r="E238" s="4"/>
      <c r="F238" s="4" t="str">
        <f t="shared" si="7"/>
        <v/>
      </c>
      <c r="G238" s="1" t="str">
        <f t="shared" si="6"/>
        <v/>
      </c>
    </row>
    <row r="239" spans="1:7" ht="15" customHeight="1" x14ac:dyDescent="0.3">
      <c r="A239" s="5"/>
      <c r="B239" s="6"/>
      <c r="C239" s="7"/>
      <c r="D239" s="7"/>
      <c r="E239" s="4"/>
      <c r="F239" s="4" t="str">
        <f t="shared" si="7"/>
        <v/>
      </c>
      <c r="G239" s="1" t="str">
        <f t="shared" si="6"/>
        <v/>
      </c>
    </row>
    <row r="240" spans="1:7" ht="15" customHeight="1" x14ac:dyDescent="0.3">
      <c r="A240" s="5"/>
      <c r="B240" s="6"/>
      <c r="C240" s="7"/>
      <c r="D240" s="7"/>
      <c r="E240" s="4"/>
      <c r="F240" s="4" t="str">
        <f t="shared" si="7"/>
        <v/>
      </c>
      <c r="G240" s="1" t="str">
        <f t="shared" si="6"/>
        <v/>
      </c>
    </row>
    <row r="241" spans="1:7" ht="15" customHeight="1" x14ac:dyDescent="0.3">
      <c r="A241" s="5"/>
      <c r="B241" s="6"/>
      <c r="C241" s="7"/>
      <c r="D241" s="7"/>
      <c r="E241" s="4"/>
      <c r="F241" s="4" t="str">
        <f t="shared" si="7"/>
        <v/>
      </c>
      <c r="G241" s="1" t="str">
        <f t="shared" si="6"/>
        <v/>
      </c>
    </row>
    <row r="242" spans="1:7" ht="15" customHeight="1" x14ac:dyDescent="0.3">
      <c r="A242" s="5"/>
      <c r="B242" s="6"/>
      <c r="C242" s="7"/>
      <c r="D242" s="7"/>
      <c r="E242" s="4"/>
      <c r="F242" s="4" t="str">
        <f t="shared" si="7"/>
        <v/>
      </c>
      <c r="G242" s="1" t="str">
        <f t="shared" si="6"/>
        <v/>
      </c>
    </row>
    <row r="243" spans="1:7" ht="15" customHeight="1" x14ac:dyDescent="0.3">
      <c r="A243" s="5"/>
      <c r="B243" s="6"/>
      <c r="C243" s="7"/>
      <c r="D243" s="7"/>
      <c r="E243" s="4"/>
      <c r="F243" s="4" t="str">
        <f t="shared" si="7"/>
        <v/>
      </c>
      <c r="G243" s="1" t="str">
        <f t="shared" si="6"/>
        <v/>
      </c>
    </row>
    <row r="244" spans="1:7" ht="15" customHeight="1" x14ac:dyDescent="0.3">
      <c r="A244" s="5"/>
      <c r="B244" s="6"/>
      <c r="C244" s="7"/>
      <c r="D244" s="7"/>
      <c r="E244" s="4"/>
      <c r="F244" s="4" t="str">
        <f t="shared" si="7"/>
        <v/>
      </c>
      <c r="G244" s="1" t="str">
        <f t="shared" si="6"/>
        <v/>
      </c>
    </row>
    <row r="245" spans="1:7" ht="15" customHeight="1" x14ac:dyDescent="0.3">
      <c r="A245" s="5"/>
      <c r="B245" s="6"/>
      <c r="C245" s="7"/>
      <c r="D245" s="7"/>
      <c r="E245" s="4"/>
      <c r="F245" s="4" t="str">
        <f t="shared" si="7"/>
        <v/>
      </c>
      <c r="G245" s="1" t="str">
        <f t="shared" si="6"/>
        <v/>
      </c>
    </row>
    <row r="246" spans="1:7" ht="15" customHeight="1" x14ac:dyDescent="0.3">
      <c r="A246" s="5"/>
      <c r="B246" s="6"/>
      <c r="C246" s="7"/>
      <c r="D246" s="7"/>
      <c r="E246" s="4"/>
      <c r="F246" s="4" t="str">
        <f t="shared" si="7"/>
        <v/>
      </c>
      <c r="G246" s="1" t="str">
        <f t="shared" si="6"/>
        <v/>
      </c>
    </row>
    <row r="247" spans="1:7" ht="15" customHeight="1" x14ac:dyDescent="0.3">
      <c r="A247" s="5"/>
      <c r="B247" s="6"/>
      <c r="C247" s="7"/>
      <c r="D247" s="7"/>
      <c r="E247" s="4"/>
      <c r="F247" s="4" t="str">
        <f t="shared" si="7"/>
        <v/>
      </c>
      <c r="G247" s="1" t="str">
        <f t="shared" si="6"/>
        <v/>
      </c>
    </row>
    <row r="248" spans="1:7" ht="15" customHeight="1" x14ac:dyDescent="0.3">
      <c r="A248" s="5"/>
      <c r="B248" s="6"/>
      <c r="C248" s="7"/>
      <c r="D248" s="7"/>
      <c r="E248" s="4"/>
      <c r="F248" s="4" t="str">
        <f t="shared" si="7"/>
        <v/>
      </c>
      <c r="G248" s="1" t="str">
        <f t="shared" si="6"/>
        <v/>
      </c>
    </row>
    <row r="249" spans="1:7" ht="15" customHeight="1" x14ac:dyDescent="0.3">
      <c r="A249" s="5"/>
      <c r="B249" s="6"/>
      <c r="C249" s="7"/>
      <c r="D249" s="7"/>
      <c r="E249" s="4"/>
      <c r="F249" s="4" t="str">
        <f t="shared" si="7"/>
        <v/>
      </c>
      <c r="G249" s="1" t="str">
        <f t="shared" ref="G249:G291" si="8">IF(A249&lt;&gt;"",MONTH(A249),"")</f>
        <v/>
      </c>
    </row>
    <row r="250" spans="1:7" ht="15" customHeight="1" x14ac:dyDescent="0.3">
      <c r="A250" s="5"/>
      <c r="B250" s="6"/>
      <c r="C250" s="7"/>
      <c r="D250" s="7"/>
      <c r="E250" s="4"/>
      <c r="F250" s="4" t="str">
        <f t="shared" ref="F250:F291" si="9">IF(AND(D250&lt;&gt;"",E250&lt;&gt;""),D250*E250,"")</f>
        <v/>
      </c>
      <c r="G250" s="1" t="str">
        <f t="shared" si="8"/>
        <v/>
      </c>
    </row>
    <row r="251" spans="1:7" ht="15" customHeight="1" x14ac:dyDescent="0.3">
      <c r="A251" s="5"/>
      <c r="B251" s="6"/>
      <c r="C251" s="7"/>
      <c r="D251" s="7"/>
      <c r="E251" s="4"/>
      <c r="F251" s="4" t="str">
        <f t="shared" si="9"/>
        <v/>
      </c>
      <c r="G251" s="1" t="str">
        <f t="shared" si="8"/>
        <v/>
      </c>
    </row>
    <row r="252" spans="1:7" ht="15" customHeight="1" x14ac:dyDescent="0.3">
      <c r="A252" s="5"/>
      <c r="B252" s="6"/>
      <c r="C252" s="7"/>
      <c r="D252" s="7"/>
      <c r="E252" s="4"/>
      <c r="F252" s="4" t="str">
        <f t="shared" si="9"/>
        <v/>
      </c>
      <c r="G252" s="1" t="str">
        <f t="shared" si="8"/>
        <v/>
      </c>
    </row>
    <row r="253" spans="1:7" ht="15" customHeight="1" x14ac:dyDescent="0.3">
      <c r="A253" s="5"/>
      <c r="B253" s="6"/>
      <c r="C253" s="7"/>
      <c r="D253" s="7"/>
      <c r="E253" s="4"/>
      <c r="F253" s="4" t="str">
        <f t="shared" si="9"/>
        <v/>
      </c>
      <c r="G253" s="1" t="str">
        <f t="shared" si="8"/>
        <v/>
      </c>
    </row>
    <row r="254" spans="1:7" ht="15" customHeight="1" x14ac:dyDescent="0.3">
      <c r="A254" s="5"/>
      <c r="B254" s="6"/>
      <c r="C254" s="7"/>
      <c r="D254" s="7"/>
      <c r="E254" s="4"/>
      <c r="F254" s="4" t="str">
        <f t="shared" si="9"/>
        <v/>
      </c>
      <c r="G254" s="1" t="str">
        <f t="shared" si="8"/>
        <v/>
      </c>
    </row>
    <row r="255" spans="1:7" ht="15" customHeight="1" x14ac:dyDescent="0.3">
      <c r="A255" s="5"/>
      <c r="B255" s="6"/>
      <c r="C255" s="7"/>
      <c r="D255" s="7"/>
      <c r="E255" s="4"/>
      <c r="F255" s="4" t="str">
        <f t="shared" si="9"/>
        <v/>
      </c>
      <c r="G255" s="1" t="str">
        <f t="shared" si="8"/>
        <v/>
      </c>
    </row>
    <row r="256" spans="1:7" ht="15" customHeight="1" x14ac:dyDescent="0.3">
      <c r="A256" s="5"/>
      <c r="B256" s="6"/>
      <c r="C256" s="7"/>
      <c r="D256" s="7"/>
      <c r="E256" s="4"/>
      <c r="F256" s="4" t="str">
        <f t="shared" si="9"/>
        <v/>
      </c>
      <c r="G256" s="1" t="str">
        <f t="shared" si="8"/>
        <v/>
      </c>
    </row>
    <row r="257" spans="1:7" ht="15" customHeight="1" x14ac:dyDescent="0.3">
      <c r="A257" s="5"/>
      <c r="B257" s="6"/>
      <c r="C257" s="7"/>
      <c r="D257" s="7"/>
      <c r="E257" s="4"/>
      <c r="F257" s="4" t="str">
        <f t="shared" si="9"/>
        <v/>
      </c>
      <c r="G257" s="1" t="str">
        <f t="shared" si="8"/>
        <v/>
      </c>
    </row>
    <row r="258" spans="1:7" ht="15" customHeight="1" x14ac:dyDescent="0.3">
      <c r="A258" s="5"/>
      <c r="B258" s="6"/>
      <c r="C258" s="7"/>
      <c r="D258" s="7"/>
      <c r="E258" s="4"/>
      <c r="F258" s="4" t="str">
        <f t="shared" si="9"/>
        <v/>
      </c>
      <c r="G258" s="1" t="str">
        <f t="shared" si="8"/>
        <v/>
      </c>
    </row>
    <row r="259" spans="1:7" ht="15" customHeight="1" x14ac:dyDescent="0.3">
      <c r="A259" s="5"/>
      <c r="B259" s="6"/>
      <c r="C259" s="7"/>
      <c r="D259" s="7"/>
      <c r="E259" s="4"/>
      <c r="F259" s="4" t="str">
        <f t="shared" si="9"/>
        <v/>
      </c>
      <c r="G259" s="1" t="str">
        <f t="shared" si="8"/>
        <v/>
      </c>
    </row>
    <row r="260" spans="1:7" ht="15" customHeight="1" x14ac:dyDescent="0.3">
      <c r="A260" s="5"/>
      <c r="B260" s="6"/>
      <c r="C260" s="7"/>
      <c r="D260" s="7"/>
      <c r="E260" s="4"/>
      <c r="F260" s="4" t="str">
        <f t="shared" si="9"/>
        <v/>
      </c>
      <c r="G260" s="1" t="str">
        <f t="shared" si="8"/>
        <v/>
      </c>
    </row>
    <row r="261" spans="1:7" ht="15" customHeight="1" x14ac:dyDescent="0.3">
      <c r="A261" s="5"/>
      <c r="B261" s="6"/>
      <c r="C261" s="7"/>
      <c r="D261" s="7"/>
      <c r="E261" s="4"/>
      <c r="F261" s="4" t="str">
        <f t="shared" si="9"/>
        <v/>
      </c>
      <c r="G261" s="1" t="str">
        <f t="shared" si="8"/>
        <v/>
      </c>
    </row>
    <row r="262" spans="1:7" ht="15" customHeight="1" x14ac:dyDescent="0.3">
      <c r="A262" s="5"/>
      <c r="B262" s="6"/>
      <c r="C262" s="7"/>
      <c r="D262" s="7"/>
      <c r="E262" s="4"/>
      <c r="F262" s="4" t="str">
        <f t="shared" si="9"/>
        <v/>
      </c>
      <c r="G262" s="1" t="str">
        <f t="shared" si="8"/>
        <v/>
      </c>
    </row>
    <row r="263" spans="1:7" ht="15" customHeight="1" x14ac:dyDescent="0.3">
      <c r="A263" s="5"/>
      <c r="B263" s="6"/>
      <c r="C263" s="7"/>
      <c r="D263" s="7"/>
      <c r="E263" s="4"/>
      <c r="F263" s="4" t="str">
        <f t="shared" si="9"/>
        <v/>
      </c>
      <c r="G263" s="1" t="str">
        <f t="shared" si="8"/>
        <v/>
      </c>
    </row>
    <row r="264" spans="1:7" ht="15" customHeight="1" x14ac:dyDescent="0.3">
      <c r="A264" s="5"/>
      <c r="B264" s="6"/>
      <c r="C264" s="7"/>
      <c r="D264" s="7"/>
      <c r="E264" s="4"/>
      <c r="F264" s="4" t="str">
        <f t="shared" si="9"/>
        <v/>
      </c>
      <c r="G264" s="1" t="str">
        <f t="shared" si="8"/>
        <v/>
      </c>
    </row>
    <row r="265" spans="1:7" ht="15" customHeight="1" x14ac:dyDescent="0.3">
      <c r="A265" s="5"/>
      <c r="B265" s="6"/>
      <c r="C265" s="7"/>
      <c r="D265" s="7"/>
      <c r="E265" s="4"/>
      <c r="F265" s="4" t="str">
        <f t="shared" si="9"/>
        <v/>
      </c>
      <c r="G265" s="1" t="str">
        <f t="shared" si="8"/>
        <v/>
      </c>
    </row>
    <row r="266" spans="1:7" ht="15" customHeight="1" x14ac:dyDescent="0.3">
      <c r="A266" s="5"/>
      <c r="B266" s="6"/>
      <c r="C266" s="7"/>
      <c r="D266" s="7"/>
      <c r="E266" s="4"/>
      <c r="F266" s="4" t="str">
        <f t="shared" si="9"/>
        <v/>
      </c>
      <c r="G266" s="1" t="str">
        <f t="shared" si="8"/>
        <v/>
      </c>
    </row>
    <row r="267" spans="1:7" ht="15" customHeight="1" x14ac:dyDescent="0.3">
      <c r="A267" s="5"/>
      <c r="B267" s="6"/>
      <c r="C267" s="7"/>
      <c r="D267" s="7"/>
      <c r="E267" s="4"/>
      <c r="F267" s="4" t="str">
        <f t="shared" si="9"/>
        <v/>
      </c>
      <c r="G267" s="1" t="str">
        <f t="shared" si="8"/>
        <v/>
      </c>
    </row>
    <row r="268" spans="1:7" ht="15" customHeight="1" x14ac:dyDescent="0.3">
      <c r="A268" s="5"/>
      <c r="B268" s="6"/>
      <c r="C268" s="7"/>
      <c r="D268" s="7"/>
      <c r="E268" s="4"/>
      <c r="F268" s="4" t="str">
        <f t="shared" si="9"/>
        <v/>
      </c>
      <c r="G268" s="1" t="str">
        <f t="shared" si="8"/>
        <v/>
      </c>
    </row>
    <row r="269" spans="1:7" ht="15" customHeight="1" x14ac:dyDescent="0.3">
      <c r="A269" s="5"/>
      <c r="B269" s="6"/>
      <c r="C269" s="7"/>
      <c r="D269" s="7"/>
      <c r="E269" s="4"/>
      <c r="F269" s="4" t="str">
        <f t="shared" si="9"/>
        <v/>
      </c>
      <c r="G269" s="1" t="str">
        <f t="shared" si="8"/>
        <v/>
      </c>
    </row>
    <row r="270" spans="1:7" ht="15" customHeight="1" x14ac:dyDescent="0.3">
      <c r="A270" s="5"/>
      <c r="B270" s="6"/>
      <c r="C270" s="7"/>
      <c r="D270" s="7"/>
      <c r="E270" s="4"/>
      <c r="F270" s="4" t="str">
        <f t="shared" si="9"/>
        <v/>
      </c>
      <c r="G270" s="1" t="str">
        <f t="shared" si="8"/>
        <v/>
      </c>
    </row>
    <row r="271" spans="1:7" ht="15" customHeight="1" x14ac:dyDescent="0.3">
      <c r="A271" s="5"/>
      <c r="B271" s="6"/>
      <c r="C271" s="7"/>
      <c r="D271" s="7"/>
      <c r="E271" s="4"/>
      <c r="F271" s="4" t="str">
        <f t="shared" si="9"/>
        <v/>
      </c>
      <c r="G271" s="1" t="str">
        <f t="shared" si="8"/>
        <v/>
      </c>
    </row>
    <row r="272" spans="1:7" ht="15" customHeight="1" x14ac:dyDescent="0.3">
      <c r="A272" s="5"/>
      <c r="B272" s="6"/>
      <c r="C272" s="7"/>
      <c r="D272" s="7"/>
      <c r="E272" s="4"/>
      <c r="F272" s="4" t="str">
        <f t="shared" si="9"/>
        <v/>
      </c>
      <c r="G272" s="1" t="str">
        <f t="shared" si="8"/>
        <v/>
      </c>
    </row>
    <row r="273" spans="1:7" ht="15" customHeight="1" x14ac:dyDescent="0.3">
      <c r="A273" s="5"/>
      <c r="B273" s="6"/>
      <c r="C273" s="7"/>
      <c r="D273" s="7"/>
      <c r="E273" s="4"/>
      <c r="F273" s="4" t="str">
        <f t="shared" si="9"/>
        <v/>
      </c>
      <c r="G273" s="1" t="str">
        <f t="shared" si="8"/>
        <v/>
      </c>
    </row>
    <row r="274" spans="1:7" ht="15" customHeight="1" x14ac:dyDescent="0.3">
      <c r="A274" s="5"/>
      <c r="B274" s="6"/>
      <c r="C274" s="7"/>
      <c r="D274" s="7"/>
      <c r="E274" s="4"/>
      <c r="F274" s="4" t="str">
        <f t="shared" si="9"/>
        <v/>
      </c>
      <c r="G274" s="1" t="str">
        <f t="shared" si="8"/>
        <v/>
      </c>
    </row>
    <row r="275" spans="1:7" ht="15" customHeight="1" x14ac:dyDescent="0.3">
      <c r="A275" s="5"/>
      <c r="B275" s="6"/>
      <c r="C275" s="7"/>
      <c r="D275" s="7"/>
      <c r="E275" s="4"/>
      <c r="F275" s="4" t="str">
        <f t="shared" si="9"/>
        <v/>
      </c>
      <c r="G275" s="1" t="str">
        <f t="shared" si="8"/>
        <v/>
      </c>
    </row>
    <row r="276" spans="1:7" ht="15" customHeight="1" x14ac:dyDescent="0.3">
      <c r="A276" s="5"/>
      <c r="B276" s="6"/>
      <c r="C276" s="7"/>
      <c r="D276" s="7"/>
      <c r="E276" s="4"/>
      <c r="F276" s="4" t="str">
        <f t="shared" si="9"/>
        <v/>
      </c>
      <c r="G276" s="1" t="str">
        <f t="shared" si="8"/>
        <v/>
      </c>
    </row>
    <row r="277" spans="1:7" ht="15" customHeight="1" x14ac:dyDescent="0.3">
      <c r="A277" s="5"/>
      <c r="B277" s="6"/>
      <c r="C277" s="7"/>
      <c r="D277" s="7"/>
      <c r="E277" s="4"/>
      <c r="F277" s="4" t="str">
        <f t="shared" si="9"/>
        <v/>
      </c>
      <c r="G277" s="1" t="str">
        <f t="shared" si="8"/>
        <v/>
      </c>
    </row>
    <row r="278" spans="1:7" ht="15" customHeight="1" x14ac:dyDescent="0.3">
      <c r="A278" s="5"/>
      <c r="B278" s="6"/>
      <c r="C278" s="7"/>
      <c r="D278" s="7"/>
      <c r="E278" s="4"/>
      <c r="F278" s="4" t="str">
        <f t="shared" si="9"/>
        <v/>
      </c>
      <c r="G278" s="1" t="str">
        <f t="shared" si="8"/>
        <v/>
      </c>
    </row>
    <row r="279" spans="1:7" ht="15" customHeight="1" x14ac:dyDescent="0.3">
      <c r="A279" s="5"/>
      <c r="B279" s="6"/>
      <c r="C279" s="7"/>
      <c r="D279" s="7"/>
      <c r="E279" s="4"/>
      <c r="F279" s="4" t="str">
        <f t="shared" si="9"/>
        <v/>
      </c>
      <c r="G279" s="1" t="str">
        <f t="shared" si="8"/>
        <v/>
      </c>
    </row>
    <row r="280" spans="1:7" ht="15" customHeight="1" x14ac:dyDescent="0.3">
      <c r="A280" s="5"/>
      <c r="B280" s="6"/>
      <c r="C280" s="7"/>
      <c r="D280" s="7"/>
      <c r="E280" s="4"/>
      <c r="F280" s="4" t="str">
        <f t="shared" si="9"/>
        <v/>
      </c>
      <c r="G280" s="1" t="str">
        <f t="shared" si="8"/>
        <v/>
      </c>
    </row>
    <row r="281" spans="1:7" ht="15" customHeight="1" x14ac:dyDescent="0.3">
      <c r="A281" s="5"/>
      <c r="B281" s="6"/>
      <c r="C281" s="7"/>
      <c r="D281" s="7"/>
      <c r="E281" s="4"/>
      <c r="F281" s="4" t="str">
        <f t="shared" si="9"/>
        <v/>
      </c>
      <c r="G281" s="1" t="str">
        <f t="shared" si="8"/>
        <v/>
      </c>
    </row>
    <row r="282" spans="1:7" ht="15" customHeight="1" x14ac:dyDescent="0.3">
      <c r="A282" s="5"/>
      <c r="B282" s="6"/>
      <c r="C282" s="7"/>
      <c r="D282" s="7"/>
      <c r="E282" s="4"/>
      <c r="F282" s="4" t="str">
        <f t="shared" si="9"/>
        <v/>
      </c>
      <c r="G282" s="1" t="str">
        <f t="shared" si="8"/>
        <v/>
      </c>
    </row>
    <row r="283" spans="1:7" ht="15" customHeight="1" x14ac:dyDescent="0.3">
      <c r="A283" s="5"/>
      <c r="B283" s="6"/>
      <c r="C283" s="7"/>
      <c r="D283" s="7"/>
      <c r="E283" s="4"/>
      <c r="F283" s="4" t="str">
        <f t="shared" si="9"/>
        <v/>
      </c>
      <c r="G283" s="1" t="str">
        <f t="shared" si="8"/>
        <v/>
      </c>
    </row>
    <row r="284" spans="1:7" ht="15" customHeight="1" x14ac:dyDescent="0.3">
      <c r="A284" s="5"/>
      <c r="B284" s="6"/>
      <c r="C284" s="7"/>
      <c r="D284" s="7"/>
      <c r="E284" s="4"/>
      <c r="F284" s="4" t="str">
        <f t="shared" si="9"/>
        <v/>
      </c>
      <c r="G284" s="1" t="str">
        <f t="shared" si="8"/>
        <v/>
      </c>
    </row>
    <row r="285" spans="1:7" ht="15" customHeight="1" x14ac:dyDescent="0.3">
      <c r="A285" s="5"/>
      <c r="B285" s="6"/>
      <c r="C285" s="7"/>
      <c r="D285" s="7"/>
      <c r="E285" s="4"/>
      <c r="F285" s="4" t="str">
        <f t="shared" si="9"/>
        <v/>
      </c>
      <c r="G285" s="1" t="str">
        <f t="shared" si="8"/>
        <v/>
      </c>
    </row>
    <row r="286" spans="1:7" ht="15" customHeight="1" x14ac:dyDescent="0.3">
      <c r="A286" s="5"/>
      <c r="B286" s="6"/>
      <c r="C286" s="7"/>
      <c r="D286" s="7"/>
      <c r="E286" s="4"/>
      <c r="F286" s="4" t="str">
        <f t="shared" si="9"/>
        <v/>
      </c>
      <c r="G286" s="1" t="str">
        <f t="shared" si="8"/>
        <v/>
      </c>
    </row>
    <row r="287" spans="1:7" ht="15" customHeight="1" x14ac:dyDescent="0.3">
      <c r="A287" s="5"/>
      <c r="B287" s="6"/>
      <c r="C287" s="7"/>
      <c r="D287" s="7"/>
      <c r="E287" s="4"/>
      <c r="F287" s="4" t="str">
        <f t="shared" si="9"/>
        <v/>
      </c>
      <c r="G287" s="1" t="str">
        <f t="shared" si="8"/>
        <v/>
      </c>
    </row>
    <row r="288" spans="1:7" ht="15" customHeight="1" x14ac:dyDescent="0.3">
      <c r="A288" s="5"/>
      <c r="B288" s="6"/>
      <c r="C288" s="7"/>
      <c r="D288" s="7"/>
      <c r="E288" s="4"/>
      <c r="F288" s="4" t="str">
        <f t="shared" si="9"/>
        <v/>
      </c>
      <c r="G288" s="1" t="str">
        <f t="shared" si="8"/>
        <v/>
      </c>
    </row>
    <row r="289" spans="1:7" ht="15" customHeight="1" x14ac:dyDescent="0.3">
      <c r="A289" s="5"/>
      <c r="B289" s="6"/>
      <c r="C289" s="7"/>
      <c r="D289" s="7"/>
      <c r="E289" s="4"/>
      <c r="F289" s="4" t="str">
        <f t="shared" si="9"/>
        <v/>
      </c>
      <c r="G289" s="1" t="str">
        <f t="shared" si="8"/>
        <v/>
      </c>
    </row>
    <row r="290" spans="1:7" ht="15" customHeight="1" x14ac:dyDescent="0.3">
      <c r="A290" s="5"/>
      <c r="B290" s="6"/>
      <c r="C290" s="7"/>
      <c r="D290" s="7"/>
      <c r="E290" s="4"/>
      <c r="F290" s="4" t="str">
        <f t="shared" si="9"/>
        <v/>
      </c>
      <c r="G290" s="1" t="str">
        <f t="shared" si="8"/>
        <v/>
      </c>
    </row>
    <row r="291" spans="1:7" ht="15" customHeight="1" x14ac:dyDescent="0.3">
      <c r="A291" s="5"/>
      <c r="B291" s="6"/>
      <c r="C291" s="7"/>
      <c r="D291" s="7"/>
      <c r="E291" s="4"/>
      <c r="F291" s="4" t="str">
        <f t="shared" si="9"/>
        <v/>
      </c>
      <c r="G291" s="1" t="str">
        <f t="shared" si="8"/>
        <v/>
      </c>
    </row>
    <row r="293" spans="1:7" ht="15" customHeight="1" x14ac:dyDescent="0.3">
      <c r="A293" s="8" t="s">
        <v>9</v>
      </c>
    </row>
    <row r="294" spans="1:7" ht="15" customHeight="1" x14ac:dyDescent="0.3">
      <c r="A294" s="9" t="s">
        <v>10</v>
      </c>
    </row>
    <row r="295" spans="1:7" ht="15" customHeight="1" x14ac:dyDescent="0.3">
      <c r="A295" s="9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4"/>
  <sheetViews>
    <sheetView tabSelected="1" topLeftCell="A95" zoomScaleNormal="100" workbookViewId="0">
      <selection activeCell="B115" sqref="B115"/>
    </sheetView>
  </sheetViews>
  <sheetFormatPr baseColWidth="10" defaultColWidth="8.6640625" defaultRowHeight="14.4" x14ac:dyDescent="0.3"/>
  <cols>
    <col min="1" max="1" width="36.21875" style="1" customWidth="1"/>
    <col min="2" max="3" width="18" style="1" customWidth="1"/>
  </cols>
  <sheetData>
    <row r="1" spans="1:3" ht="17.25" customHeight="1" x14ac:dyDescent="0.3">
      <c r="A1" s="54" t="s">
        <v>12</v>
      </c>
      <c r="B1" s="54"/>
      <c r="C1" s="54"/>
    </row>
    <row r="3" spans="1:3" ht="15" customHeight="1" x14ac:dyDescent="0.3">
      <c r="A3" s="8" t="s">
        <v>13</v>
      </c>
      <c r="B3" s="10">
        <f>SUM(Ventas!F2:F291)</f>
        <v>1255000</v>
      </c>
    </row>
    <row r="5" spans="1:3" ht="15" customHeight="1" x14ac:dyDescent="0.3">
      <c r="A5" s="11" t="s">
        <v>14</v>
      </c>
    </row>
    <row r="6" spans="1:3" ht="15" customHeight="1" x14ac:dyDescent="0.3">
      <c r="A6" s="2" t="s">
        <v>15</v>
      </c>
      <c r="B6" s="2" t="s">
        <v>16</v>
      </c>
    </row>
    <row r="7" spans="1:3" ht="15" customHeight="1" x14ac:dyDescent="0.3">
      <c r="A7" s="6" t="s">
        <v>17</v>
      </c>
      <c r="B7" s="12">
        <f>SUMIFS(Ventas!$F$2:$F$291,Ventas!$G$2:$G$291,1)</f>
        <v>0</v>
      </c>
    </row>
    <row r="8" spans="1:3" ht="15" customHeight="1" x14ac:dyDescent="0.3">
      <c r="A8" s="6" t="s">
        <v>18</v>
      </c>
      <c r="B8" s="12">
        <f>SUMIFS(Ventas!$F$2:$F$291,Ventas!$G$2:$G$291,2)</f>
        <v>0</v>
      </c>
    </row>
    <row r="9" spans="1:3" ht="15" customHeight="1" x14ac:dyDescent="0.3">
      <c r="A9" s="6" t="s">
        <v>19</v>
      </c>
      <c r="B9" s="12">
        <f>SUMIFS(Ventas!$F$2:$F$291,Ventas!$G$2:$G$291,3)</f>
        <v>0</v>
      </c>
    </row>
    <row r="10" spans="1:3" ht="15" customHeight="1" x14ac:dyDescent="0.3">
      <c r="A10" s="6" t="s">
        <v>20</v>
      </c>
      <c r="B10" s="12">
        <f>SUMIFS(Ventas!$F$2:$F$291,Ventas!$G$2:$G$291,4)</f>
        <v>0</v>
      </c>
    </row>
    <row r="11" spans="1:3" ht="15" customHeight="1" x14ac:dyDescent="0.3">
      <c r="A11" s="6" t="s">
        <v>21</v>
      </c>
      <c r="B11" s="12">
        <f>SUMIFS(Ventas!$F$2:$F$291,Ventas!$G$2:$G$291,5)</f>
        <v>0</v>
      </c>
    </row>
    <row r="12" spans="1:3" ht="15" customHeight="1" x14ac:dyDescent="0.3">
      <c r="A12" s="6" t="s">
        <v>22</v>
      </c>
      <c r="B12" s="12">
        <f>SUMIFS(Ventas!$F$2:$F$291,Ventas!$G$2:$G$291,6)</f>
        <v>0</v>
      </c>
    </row>
    <row r="13" spans="1:3" ht="15" customHeight="1" x14ac:dyDescent="0.3">
      <c r="A13" s="6" t="s">
        <v>23</v>
      </c>
      <c r="B13" s="12">
        <f>SUMIFS(Ventas!$F$2:$F$291,Ventas!$G$2:$G$291,7)</f>
        <v>0</v>
      </c>
    </row>
    <row r="14" spans="1:3" ht="15" customHeight="1" x14ac:dyDescent="0.3">
      <c r="A14" s="6" t="s">
        <v>24</v>
      </c>
      <c r="B14" s="12">
        <f>SUMIFS(Ventas!$F$2:$F$291,Ventas!$G$2:$G$291,8)</f>
        <v>0</v>
      </c>
    </row>
    <row r="15" spans="1:3" ht="15" customHeight="1" x14ac:dyDescent="0.3">
      <c r="A15" s="6" t="s">
        <v>25</v>
      </c>
      <c r="B15" s="12">
        <f>SUMIFS(Ventas!$F$2:$F$291,Ventas!$G$2:$G$291,9)</f>
        <v>1255000</v>
      </c>
    </row>
    <row r="16" spans="1:3" ht="15" customHeight="1" x14ac:dyDescent="0.3">
      <c r="A16" s="6" t="s">
        <v>26</v>
      </c>
      <c r="B16" s="12">
        <f>SUMIFS(Ventas!$F$2:$F$291,Ventas!$G$2:$G$291,10)</f>
        <v>0</v>
      </c>
    </row>
    <row r="17" spans="1:3" ht="15" customHeight="1" x14ac:dyDescent="0.3">
      <c r="A17" s="6" t="s">
        <v>27</v>
      </c>
      <c r="B17" s="12">
        <f>SUMIFS(Ventas!$F$2:$F$291,Ventas!$G$2:$G$291,11)</f>
        <v>0</v>
      </c>
    </row>
    <row r="18" spans="1:3" ht="15" customHeight="1" x14ac:dyDescent="0.3">
      <c r="A18" s="6" t="s">
        <v>28</v>
      </c>
      <c r="B18" s="12">
        <f>SUMIFS(Ventas!$F$2:$F$291,Ventas!$G$2:$G$291,12)</f>
        <v>0</v>
      </c>
    </row>
    <row r="20" spans="1:3" ht="15" customHeight="1" x14ac:dyDescent="0.3">
      <c r="A20" s="11" t="s">
        <v>29</v>
      </c>
    </row>
    <row r="21" spans="1:3" ht="15" customHeight="1" x14ac:dyDescent="0.3">
      <c r="A21" s="2" t="s">
        <v>1</v>
      </c>
      <c r="B21" s="2" t="s">
        <v>30</v>
      </c>
      <c r="C21" s="2" t="s">
        <v>16</v>
      </c>
    </row>
    <row r="22" spans="1:3" ht="15" customHeight="1" x14ac:dyDescent="0.3">
      <c r="A22" s="31" t="s">
        <v>31</v>
      </c>
      <c r="B22" s="14">
        <f>SUMIFS(Ventas!$D$2:$D$291,Ventas!$B$2:$B$291,A22)</f>
        <v>1</v>
      </c>
      <c r="C22" s="15">
        <f>SUMIFS(Ventas!$F$2:$F$291,Ventas!$B$2:$B$291,A22)</f>
        <v>60000</v>
      </c>
    </row>
    <row r="23" spans="1:3" ht="15" customHeight="1" x14ac:dyDescent="0.3">
      <c r="A23" s="13" t="s">
        <v>32</v>
      </c>
      <c r="B23" s="14">
        <f>SUMIFS(Ventas!$D$2:$D$291,Ventas!$B$2:$B$291,A23)</f>
        <v>0</v>
      </c>
      <c r="C23" s="15">
        <f>SUMIFS(Ventas!$F$2:$F$291,Ventas!$B$2:$B$291,A23)</f>
        <v>0</v>
      </c>
    </row>
    <row r="24" spans="1:3" ht="15" customHeight="1" x14ac:dyDescent="0.3">
      <c r="A24" s="13" t="s">
        <v>89</v>
      </c>
      <c r="B24" s="14">
        <f>SUMIFS(Ventas!$D$2:$D$291,Ventas!$B$2:$B$291,A24)</f>
        <v>2</v>
      </c>
      <c r="C24" s="15">
        <f>SUMIFS(Ventas!$F$2:$F$291,Ventas!$B$2:$B$291,A24)</f>
        <v>190000</v>
      </c>
    </row>
    <row r="25" spans="1:3" ht="15" customHeight="1" x14ac:dyDescent="0.3">
      <c r="A25" s="13" t="s">
        <v>90</v>
      </c>
      <c r="B25" s="14">
        <f>SUMIFS(Ventas!$D$2:$D$291,Ventas!$B$2:$B$291,A25)</f>
        <v>1</v>
      </c>
      <c r="C25" s="15">
        <f>SUMIFS(Ventas!$F$2:$F$291,Ventas!$B$2:$B$291,A25)</f>
        <v>60000</v>
      </c>
    </row>
    <row r="26" spans="1:3" ht="15" customHeight="1" x14ac:dyDescent="0.3">
      <c r="A26" s="13" t="s">
        <v>33</v>
      </c>
      <c r="B26" s="14">
        <f>SUMIFS(Ventas!$D$2:$D$291,Ventas!$B$2:$B$291,A26)</f>
        <v>0</v>
      </c>
      <c r="C26" s="15">
        <f>SUMIFS(Ventas!$F$2:$F$291,Ventas!$B$2:$B$291,A26)</f>
        <v>0</v>
      </c>
    </row>
    <row r="27" spans="1:3" ht="15" customHeight="1" x14ac:dyDescent="0.3">
      <c r="A27" s="13" t="s">
        <v>34</v>
      </c>
      <c r="B27" s="14">
        <f>SUMIFS(Ventas!$D$2:$D$291,Ventas!$B$2:$B$291,A27)</f>
        <v>0</v>
      </c>
      <c r="C27" s="15">
        <f>SUMIFS(Ventas!$F$2:$F$291,Ventas!$B$2:$B$291,A27)</f>
        <v>0</v>
      </c>
    </row>
    <row r="28" spans="1:3" ht="15" customHeight="1" x14ac:dyDescent="0.3">
      <c r="A28" s="13" t="s">
        <v>35</v>
      </c>
      <c r="B28" s="14">
        <f>SUMIFS(Ventas!$D$2:$D$291,Ventas!$B$2:$B$291,A28)</f>
        <v>1</v>
      </c>
      <c r="C28" s="15">
        <f>SUMIFS(Ventas!$F$2:$F$291,Ventas!$B$2:$B$291,A28)</f>
        <v>100000</v>
      </c>
    </row>
    <row r="29" spans="1:3" ht="15" customHeight="1" x14ac:dyDescent="0.3">
      <c r="A29" s="13" t="s">
        <v>36</v>
      </c>
      <c r="B29" s="14">
        <f>SUMIFS(Ventas!$D$2:$D$291,Ventas!$B$2:$B$291,A29)</f>
        <v>1</v>
      </c>
      <c r="C29" s="15">
        <f>SUMIFS(Ventas!$F$2:$F$291,Ventas!$B$2:$B$291,A29)</f>
        <v>100000</v>
      </c>
    </row>
    <row r="30" spans="1:3" ht="15" customHeight="1" x14ac:dyDescent="0.3">
      <c r="A30" s="31" t="s">
        <v>37</v>
      </c>
      <c r="B30" s="14">
        <f>SUMIFS(Ventas!$D$2:$D$291,Ventas!$B$2:$B$291,A30)</f>
        <v>1</v>
      </c>
      <c r="C30" s="15">
        <f>SUMIFS(Ventas!$F$2:$F$291,Ventas!$B$2:$B$291,A30)</f>
        <v>85000</v>
      </c>
    </row>
    <row r="31" spans="1:3" ht="15" customHeight="1" x14ac:dyDescent="0.3">
      <c r="A31" s="13" t="s">
        <v>7</v>
      </c>
      <c r="B31" s="14">
        <f>SUMIFS(Ventas!$D$2:$D$291,Ventas!$B$2:$B$291,A31)</f>
        <v>1</v>
      </c>
      <c r="C31" s="15">
        <f>SUMIFS(Ventas!$F$2:$F$291,Ventas!$B$2:$B$291,A31)</f>
        <v>100000</v>
      </c>
    </row>
    <row r="32" spans="1:3" ht="15" customHeight="1" x14ac:dyDescent="0.3">
      <c r="A32" s="13" t="s">
        <v>38</v>
      </c>
      <c r="B32" s="14">
        <f>SUMIFS(Ventas!$D$2:$D$291,Ventas!$B$2:$B$291,A32)</f>
        <v>1</v>
      </c>
      <c r="C32" s="15">
        <f>SUMIFS(Ventas!$F$2:$F$291,Ventas!$B$2:$B$291,A32)</f>
        <v>85000</v>
      </c>
    </row>
    <row r="33" spans="1:3" ht="15" customHeight="1" x14ac:dyDescent="0.3">
      <c r="A33" s="13" t="s">
        <v>80</v>
      </c>
      <c r="B33" s="14">
        <f>SUMIFS(Ventas!$D$2:$D$291,Ventas!$B$2:$B$291,A33)</f>
        <v>0</v>
      </c>
      <c r="C33" s="15">
        <f>SUMIFS(Ventas!$F$2:$F$291,Ventas!$B$2:$B$291,A33)</f>
        <v>0</v>
      </c>
    </row>
    <row r="34" spans="1:3" ht="15" customHeight="1" x14ac:dyDescent="0.3">
      <c r="A34" s="13" t="s">
        <v>39</v>
      </c>
      <c r="B34" s="14">
        <f>SUMIFS(Ventas!$D$2:$D$291,Ventas!$B$2:$B$291,A34)</f>
        <v>0</v>
      </c>
      <c r="C34" s="15">
        <f>SUMIFS(Ventas!$F$2:$F$291,Ventas!$B$2:$B$291,A34)</f>
        <v>0</v>
      </c>
    </row>
    <row r="35" spans="1:3" ht="15" customHeight="1" x14ac:dyDescent="0.3">
      <c r="A35" s="13" t="s">
        <v>40</v>
      </c>
      <c r="B35" s="14">
        <f>SUMIFS(Ventas!$D$2:$D$291,Ventas!$B$2:$B$291,A35)</f>
        <v>0</v>
      </c>
      <c r="C35" s="15">
        <f>SUMIFS(Ventas!$F$2:$F$291,Ventas!$B$2:$B$291,A35)</f>
        <v>0</v>
      </c>
    </row>
    <row r="36" spans="1:3" ht="15" customHeight="1" x14ac:dyDescent="0.3">
      <c r="A36" s="31" t="s">
        <v>41</v>
      </c>
      <c r="B36" s="14">
        <f>SUMIFS(Ventas!$D$2:$D$291,Ventas!$B$2:$B$291,A36)</f>
        <v>1</v>
      </c>
      <c r="C36" s="15">
        <f>SUMIFS(Ventas!$F$2:$F$291,Ventas!$B$2:$B$291,A36)</f>
        <v>85000</v>
      </c>
    </row>
    <row r="37" spans="1:3" ht="15" customHeight="1" x14ac:dyDescent="0.3">
      <c r="A37" s="31" t="s">
        <v>96</v>
      </c>
      <c r="B37" s="14">
        <f>SUMIFS(Ventas!$D$2:$D$291,Ventas!$B$2:$B$291,A37)</f>
        <v>1</v>
      </c>
      <c r="C37" s="15">
        <f>SUMIFS(Ventas!$F$2:$F$291,Ventas!$B$2:$B$291,A37)</f>
        <v>90000</v>
      </c>
    </row>
    <row r="38" spans="1:3" ht="15" customHeight="1" x14ac:dyDescent="0.3">
      <c r="A38" s="31" t="s">
        <v>42</v>
      </c>
      <c r="B38" s="14">
        <f>SUMIFS(Ventas!$D$2:$D$291,Ventas!$B$2:$B$291,A38)</f>
        <v>0</v>
      </c>
      <c r="C38" s="15">
        <f>SUMIFS(Ventas!$F$2:$F$291,Ventas!$B$2:$B$291,A38)</f>
        <v>0</v>
      </c>
    </row>
    <row r="39" spans="1:3" ht="15" customHeight="1" x14ac:dyDescent="0.3">
      <c r="A39" s="13" t="s">
        <v>43</v>
      </c>
      <c r="B39" s="14">
        <f>SUMIFS(Ventas!$D$2:$D$291,Ventas!$B$2:$B$291,A39)</f>
        <v>2</v>
      </c>
      <c r="C39" s="15">
        <f>SUMIFS(Ventas!$F$2:$F$291,Ventas!$B$2:$B$291,A39)</f>
        <v>120000</v>
      </c>
    </row>
    <row r="40" spans="1:3" ht="15" customHeight="1" x14ac:dyDescent="0.3">
      <c r="A40" s="13" t="s">
        <v>44</v>
      </c>
      <c r="B40" s="14">
        <f>SUMIFS(Ventas!$D$2:$D$291,Ventas!$B$2:$B$291,A40)</f>
        <v>2</v>
      </c>
      <c r="C40" s="15">
        <f>SUMIFS(Ventas!$F$2:$F$291,Ventas!$B$2:$B$291,A40)</f>
        <v>120000</v>
      </c>
    </row>
    <row r="41" spans="1:3" ht="15" customHeight="1" x14ac:dyDescent="0.3">
      <c r="A41" s="13" t="s">
        <v>45</v>
      </c>
      <c r="B41" s="14">
        <f>SUMIFS(Ventas!$D$2:$D$291,Ventas!$B$2:$B$291,A41)</f>
        <v>0</v>
      </c>
      <c r="C41" s="15">
        <f>SUMIFS(Ventas!$F$2:$F$291,Ventas!$B$2:$B$291,A41)</f>
        <v>0</v>
      </c>
    </row>
    <row r="42" spans="1:3" ht="15" customHeight="1" x14ac:dyDescent="0.3">
      <c r="A42" s="13" t="s">
        <v>46</v>
      </c>
      <c r="B42" s="14">
        <f>SUMIFS(Ventas!$D$2:$D$291,Ventas!$B$2:$B$291,A42)</f>
        <v>0</v>
      </c>
      <c r="C42" s="15">
        <f>SUMIFS(Ventas!$F$2:$F$291,Ventas!$B$2:$B$291,A42)</f>
        <v>0</v>
      </c>
    </row>
    <row r="43" spans="1:3" ht="15" customHeight="1" x14ac:dyDescent="0.3">
      <c r="A43" s="31" t="s">
        <v>79</v>
      </c>
      <c r="B43" s="14">
        <f>SUMIFS(Ventas!$D$2:$D$291,Ventas!$B$2:$B$291,A43)</f>
        <v>0</v>
      </c>
      <c r="C43" s="15">
        <f>SUMIFS(Ventas!$F$2:$F$291,Ventas!$B$2:$B$291,A43)</f>
        <v>0</v>
      </c>
    </row>
    <row r="44" spans="1:3" ht="15" customHeight="1" x14ac:dyDescent="0.3">
      <c r="A44" s="31" t="s">
        <v>47</v>
      </c>
      <c r="B44" s="14">
        <f>SUMIFS(Ventas!$D$2:$D$291,Ventas!$B$2:$B$291,A44)</f>
        <v>1</v>
      </c>
      <c r="C44" s="15">
        <f>SUMIFS(Ventas!$F$2:$F$291,Ventas!$B$2:$B$291,A44)</f>
        <v>60000</v>
      </c>
    </row>
    <row r="45" spans="1:3" ht="15" customHeight="1" x14ac:dyDescent="0.3">
      <c r="A45" s="16" t="s">
        <v>48</v>
      </c>
      <c r="B45" s="17">
        <f>SUM(B22:B44)</f>
        <v>16</v>
      </c>
      <c r="C45" s="18">
        <f>SUM(C22:C44)</f>
        <v>1255000</v>
      </c>
    </row>
    <row r="46" spans="1:3" ht="15" customHeight="1" x14ac:dyDescent="0.3"/>
    <row r="47" spans="1:3" ht="15" customHeight="1" x14ac:dyDescent="0.3">
      <c r="A47" s="11" t="s">
        <v>49</v>
      </c>
    </row>
    <row r="48" spans="1:3" ht="15" customHeight="1" x14ac:dyDescent="0.3">
      <c r="A48" s="2" t="s">
        <v>50</v>
      </c>
      <c r="B48" s="2" t="s">
        <v>51</v>
      </c>
      <c r="C48" s="2" t="s">
        <v>16</v>
      </c>
    </row>
    <row r="49" spans="1:3" ht="15" customHeight="1" x14ac:dyDescent="0.3">
      <c r="A49" s="5">
        <f ca="1">IF(COUNT(Ventas!$A$2:$A$291)&gt;0,MIN(Ventas!$A$2:$A$291)-WEEKDAY(MIN(Ventas!$A$2:$A$291),3),TODAY()-WEEKDAY(TODAY(),3))</f>
        <v>46279</v>
      </c>
      <c r="B49" s="5">
        <f t="shared" ref="B49:B80" ca="1" si="0">A49+6</f>
        <v>46285</v>
      </c>
      <c r="C49" s="12">
        <f ca="1">SUMIFS(Ventas!$F$2:$F$291,Ventas!$A$2:$A$291,"&gt;="&amp;A49,Ventas!$A$2:$A$291,"&lt;="&amp;B49)</f>
        <v>1255000</v>
      </c>
    </row>
    <row r="50" spans="1:3" ht="15" customHeight="1" x14ac:dyDescent="0.3">
      <c r="A50" s="5">
        <f t="shared" ref="A50:A81" ca="1" si="1">A49+7</f>
        <v>46286</v>
      </c>
      <c r="B50" s="5">
        <f t="shared" ca="1" si="0"/>
        <v>46292</v>
      </c>
      <c r="C50" s="12">
        <f ca="1">SUMIFS(Ventas!$F$2:$F$291,Ventas!$A$2:$A$291,"&gt;="&amp;A50,Ventas!$A$2:$A$291,"&lt;="&amp;B50)</f>
        <v>0</v>
      </c>
    </row>
    <row r="51" spans="1:3" ht="15" customHeight="1" x14ac:dyDescent="0.3">
      <c r="A51" s="5">
        <f t="shared" ca="1" si="1"/>
        <v>46293</v>
      </c>
      <c r="B51" s="5">
        <f t="shared" ca="1" si="0"/>
        <v>46299</v>
      </c>
      <c r="C51" s="12">
        <f ca="1">SUMIFS(Ventas!$F$2:$F$291,Ventas!$A$2:$A$291,"&gt;="&amp;A51,Ventas!$A$2:$A$291,"&lt;="&amp;B51)</f>
        <v>0</v>
      </c>
    </row>
    <row r="52" spans="1:3" ht="15" customHeight="1" x14ac:dyDescent="0.3">
      <c r="A52" s="5">
        <f t="shared" ca="1" si="1"/>
        <v>46300</v>
      </c>
      <c r="B52" s="5">
        <f t="shared" ca="1" si="0"/>
        <v>46306</v>
      </c>
      <c r="C52" s="12">
        <f ca="1">SUMIFS(Ventas!$F$2:$F$291,Ventas!$A$2:$A$291,"&gt;="&amp;A52,Ventas!$A$2:$A$291,"&lt;="&amp;B52)</f>
        <v>0</v>
      </c>
    </row>
    <row r="53" spans="1:3" ht="15" customHeight="1" x14ac:dyDescent="0.3">
      <c r="A53" s="5">
        <f t="shared" ca="1" si="1"/>
        <v>46307</v>
      </c>
      <c r="B53" s="5">
        <f t="shared" ca="1" si="0"/>
        <v>46313</v>
      </c>
      <c r="C53" s="12">
        <f ca="1">SUMIFS(Ventas!$F$2:$F$291,Ventas!$A$2:$A$291,"&gt;="&amp;A53,Ventas!$A$2:$A$291,"&lt;="&amp;B53)</f>
        <v>0</v>
      </c>
    </row>
    <row r="54" spans="1:3" ht="15" customHeight="1" x14ac:dyDescent="0.3">
      <c r="A54" s="5">
        <f t="shared" ca="1" si="1"/>
        <v>46314</v>
      </c>
      <c r="B54" s="5">
        <f t="shared" ca="1" si="0"/>
        <v>46320</v>
      </c>
      <c r="C54" s="12">
        <f ca="1">SUMIFS(Ventas!$F$2:$F$291,Ventas!$A$2:$A$291,"&gt;="&amp;A54,Ventas!$A$2:$A$291,"&lt;="&amp;B54)</f>
        <v>0</v>
      </c>
    </row>
    <row r="55" spans="1:3" ht="15" customHeight="1" x14ac:dyDescent="0.3">
      <c r="A55" s="5">
        <f t="shared" ca="1" si="1"/>
        <v>46321</v>
      </c>
      <c r="B55" s="5">
        <f t="shared" ca="1" si="0"/>
        <v>46327</v>
      </c>
      <c r="C55" s="12">
        <f ca="1">SUMIFS(Ventas!$F$2:$F$291,Ventas!$A$2:$A$291,"&gt;="&amp;A55,Ventas!$A$2:$A$291,"&lt;="&amp;B55)</f>
        <v>0</v>
      </c>
    </row>
    <row r="56" spans="1:3" ht="15" customHeight="1" x14ac:dyDescent="0.3">
      <c r="A56" s="5">
        <f t="shared" ca="1" si="1"/>
        <v>46328</v>
      </c>
      <c r="B56" s="5">
        <f t="shared" ca="1" si="0"/>
        <v>46334</v>
      </c>
      <c r="C56" s="12">
        <f ca="1">SUMIFS(Ventas!$F$2:$F$291,Ventas!$A$2:$A$291,"&gt;="&amp;A56,Ventas!$A$2:$A$291,"&lt;="&amp;B56)</f>
        <v>0</v>
      </c>
    </row>
    <row r="57" spans="1:3" ht="15" customHeight="1" x14ac:dyDescent="0.3">
      <c r="A57" s="5">
        <f t="shared" ca="1" si="1"/>
        <v>46335</v>
      </c>
      <c r="B57" s="5">
        <f t="shared" ca="1" si="0"/>
        <v>46341</v>
      </c>
      <c r="C57" s="12">
        <f ca="1">SUMIFS(Ventas!$F$2:$F$291,Ventas!$A$2:$A$291,"&gt;="&amp;A57,Ventas!$A$2:$A$291,"&lt;="&amp;B57)</f>
        <v>0</v>
      </c>
    </row>
    <row r="58" spans="1:3" ht="15" customHeight="1" x14ac:dyDescent="0.3">
      <c r="A58" s="5">
        <f t="shared" ca="1" si="1"/>
        <v>46342</v>
      </c>
      <c r="B58" s="5">
        <f t="shared" ca="1" si="0"/>
        <v>46348</v>
      </c>
      <c r="C58" s="12">
        <f ca="1">SUMIFS(Ventas!$F$2:$F$291,Ventas!$A$2:$A$291,"&gt;="&amp;A58,Ventas!$A$2:$A$291,"&lt;="&amp;B58)</f>
        <v>0</v>
      </c>
    </row>
    <row r="59" spans="1:3" ht="15" customHeight="1" x14ac:dyDescent="0.3">
      <c r="A59" s="5">
        <f t="shared" ca="1" si="1"/>
        <v>46349</v>
      </c>
      <c r="B59" s="5">
        <f t="shared" ca="1" si="0"/>
        <v>46355</v>
      </c>
      <c r="C59" s="12">
        <f ca="1">SUMIFS(Ventas!$F$2:$F$291,Ventas!$A$2:$A$291,"&gt;="&amp;A59,Ventas!$A$2:$A$291,"&lt;="&amp;B59)</f>
        <v>0</v>
      </c>
    </row>
    <row r="60" spans="1:3" ht="15" customHeight="1" x14ac:dyDescent="0.3">
      <c r="A60" s="5">
        <f t="shared" ca="1" si="1"/>
        <v>46356</v>
      </c>
      <c r="B60" s="5">
        <f t="shared" ca="1" si="0"/>
        <v>46362</v>
      </c>
      <c r="C60" s="12">
        <f ca="1">SUMIFS(Ventas!$F$2:$F$291,Ventas!$A$2:$A$291,"&gt;="&amp;A60,Ventas!$A$2:$A$291,"&lt;="&amp;B60)</f>
        <v>0</v>
      </c>
    </row>
    <row r="61" spans="1:3" ht="15" customHeight="1" x14ac:dyDescent="0.3">
      <c r="A61" s="5">
        <f t="shared" ca="1" si="1"/>
        <v>46363</v>
      </c>
      <c r="B61" s="5">
        <f t="shared" ca="1" si="0"/>
        <v>46369</v>
      </c>
      <c r="C61" s="12">
        <f ca="1">SUMIFS(Ventas!$F$2:$F$291,Ventas!$A$2:$A$291,"&gt;="&amp;A61,Ventas!$A$2:$A$291,"&lt;="&amp;B61)</f>
        <v>0</v>
      </c>
    </row>
    <row r="62" spans="1:3" ht="15" customHeight="1" x14ac:dyDescent="0.3">
      <c r="A62" s="5">
        <f t="shared" ca="1" si="1"/>
        <v>46370</v>
      </c>
      <c r="B62" s="5">
        <f t="shared" ca="1" si="0"/>
        <v>46376</v>
      </c>
      <c r="C62" s="12">
        <f ca="1">SUMIFS(Ventas!$F$2:$F$291,Ventas!$A$2:$A$291,"&gt;="&amp;A62,Ventas!$A$2:$A$291,"&lt;="&amp;B62)</f>
        <v>0</v>
      </c>
    </row>
    <row r="63" spans="1:3" ht="15" customHeight="1" x14ac:dyDescent="0.3">
      <c r="A63" s="5">
        <f t="shared" ca="1" si="1"/>
        <v>46377</v>
      </c>
      <c r="B63" s="5">
        <f t="shared" ca="1" si="0"/>
        <v>46383</v>
      </c>
      <c r="C63" s="12">
        <f ca="1">SUMIFS(Ventas!$F$2:$F$291,Ventas!$A$2:$A$291,"&gt;="&amp;A63,Ventas!$A$2:$A$291,"&lt;="&amp;B63)</f>
        <v>0</v>
      </c>
    </row>
    <row r="64" spans="1:3" ht="15" customHeight="1" x14ac:dyDescent="0.3">
      <c r="A64" s="5">
        <f t="shared" ca="1" si="1"/>
        <v>46384</v>
      </c>
      <c r="B64" s="5">
        <f t="shared" ca="1" si="0"/>
        <v>46390</v>
      </c>
      <c r="C64" s="12">
        <f ca="1">SUMIFS(Ventas!$F$2:$F$291,Ventas!$A$2:$A$291,"&gt;="&amp;A64,Ventas!$A$2:$A$291,"&lt;="&amp;B64)</f>
        <v>0</v>
      </c>
    </row>
    <row r="65" spans="1:3" ht="15" customHeight="1" x14ac:dyDescent="0.3">
      <c r="A65" s="5">
        <f t="shared" ca="1" si="1"/>
        <v>46391</v>
      </c>
      <c r="B65" s="5">
        <f t="shared" ca="1" si="0"/>
        <v>46397</v>
      </c>
      <c r="C65" s="12">
        <f ca="1">SUMIFS(Ventas!$F$2:$F$291,Ventas!$A$2:$A$291,"&gt;="&amp;A65,Ventas!$A$2:$A$291,"&lt;="&amp;B65)</f>
        <v>0</v>
      </c>
    </row>
    <row r="66" spans="1:3" ht="15" customHeight="1" x14ac:dyDescent="0.3">
      <c r="A66" s="5">
        <f t="shared" ca="1" si="1"/>
        <v>46398</v>
      </c>
      <c r="B66" s="5">
        <f t="shared" ca="1" si="0"/>
        <v>46404</v>
      </c>
      <c r="C66" s="12">
        <f ca="1">SUMIFS(Ventas!$F$2:$F$291,Ventas!$A$2:$A$291,"&gt;="&amp;A66,Ventas!$A$2:$A$291,"&lt;="&amp;B66)</f>
        <v>0</v>
      </c>
    </row>
    <row r="67" spans="1:3" ht="15" customHeight="1" x14ac:dyDescent="0.3">
      <c r="A67" s="5">
        <f t="shared" ca="1" si="1"/>
        <v>46405</v>
      </c>
      <c r="B67" s="5">
        <f t="shared" ca="1" si="0"/>
        <v>46411</v>
      </c>
      <c r="C67" s="12">
        <f ca="1">SUMIFS(Ventas!$F$2:$F$291,Ventas!$A$2:$A$291,"&gt;="&amp;A67,Ventas!$A$2:$A$291,"&lt;="&amp;B67)</f>
        <v>0</v>
      </c>
    </row>
    <row r="68" spans="1:3" ht="15" customHeight="1" x14ac:dyDescent="0.3">
      <c r="A68" s="5">
        <f t="shared" ca="1" si="1"/>
        <v>46412</v>
      </c>
      <c r="B68" s="5">
        <f t="shared" ca="1" si="0"/>
        <v>46418</v>
      </c>
      <c r="C68" s="12">
        <f ca="1">SUMIFS(Ventas!$F$2:$F$291,Ventas!$A$2:$A$291,"&gt;="&amp;A68,Ventas!$A$2:$A$291,"&lt;="&amp;B68)</f>
        <v>0</v>
      </c>
    </row>
    <row r="69" spans="1:3" ht="15" customHeight="1" x14ac:dyDescent="0.3">
      <c r="A69" s="5">
        <f t="shared" ca="1" si="1"/>
        <v>46419</v>
      </c>
      <c r="B69" s="5">
        <f t="shared" ca="1" si="0"/>
        <v>46425</v>
      </c>
      <c r="C69" s="12">
        <f ca="1">SUMIFS(Ventas!$F$2:$F$291,Ventas!$A$2:$A$291,"&gt;="&amp;A69,Ventas!$A$2:$A$291,"&lt;="&amp;B69)</f>
        <v>0</v>
      </c>
    </row>
    <row r="70" spans="1:3" ht="15" customHeight="1" x14ac:dyDescent="0.3">
      <c r="A70" s="5">
        <f t="shared" ca="1" si="1"/>
        <v>46426</v>
      </c>
      <c r="B70" s="5">
        <f t="shared" ca="1" si="0"/>
        <v>46432</v>
      </c>
      <c r="C70" s="12">
        <f ca="1">SUMIFS(Ventas!$F$2:$F$291,Ventas!$A$2:$A$291,"&gt;="&amp;A70,Ventas!$A$2:$A$291,"&lt;="&amp;B70)</f>
        <v>0</v>
      </c>
    </row>
    <row r="71" spans="1:3" ht="15" customHeight="1" x14ac:dyDescent="0.3">
      <c r="A71" s="5">
        <f t="shared" ca="1" si="1"/>
        <v>46433</v>
      </c>
      <c r="B71" s="5">
        <f t="shared" ca="1" si="0"/>
        <v>46439</v>
      </c>
      <c r="C71" s="12">
        <f ca="1">SUMIFS(Ventas!$F$2:$F$291,Ventas!$A$2:$A$291,"&gt;="&amp;A71,Ventas!$A$2:$A$291,"&lt;="&amp;B71)</f>
        <v>0</v>
      </c>
    </row>
    <row r="72" spans="1:3" ht="15" customHeight="1" x14ac:dyDescent="0.3">
      <c r="A72" s="5">
        <f t="shared" ca="1" si="1"/>
        <v>46440</v>
      </c>
      <c r="B72" s="5">
        <f t="shared" ca="1" si="0"/>
        <v>46446</v>
      </c>
      <c r="C72" s="12">
        <f ca="1">SUMIFS(Ventas!$F$2:$F$291,Ventas!$A$2:$A$291,"&gt;="&amp;A72,Ventas!$A$2:$A$291,"&lt;="&amp;B72)</f>
        <v>0</v>
      </c>
    </row>
    <row r="73" spans="1:3" ht="15" customHeight="1" x14ac:dyDescent="0.3">
      <c r="A73" s="5">
        <f t="shared" ca="1" si="1"/>
        <v>46447</v>
      </c>
      <c r="B73" s="5">
        <f t="shared" ca="1" si="0"/>
        <v>46453</v>
      </c>
      <c r="C73" s="12">
        <f ca="1">SUMIFS(Ventas!$F$2:$F$291,Ventas!$A$2:$A$291,"&gt;="&amp;A73,Ventas!$A$2:$A$291,"&lt;="&amp;B73)</f>
        <v>0</v>
      </c>
    </row>
    <row r="74" spans="1:3" ht="15" customHeight="1" x14ac:dyDescent="0.3">
      <c r="A74" s="5">
        <f t="shared" ca="1" si="1"/>
        <v>46454</v>
      </c>
      <c r="B74" s="5">
        <f t="shared" ca="1" si="0"/>
        <v>46460</v>
      </c>
      <c r="C74" s="12">
        <f ca="1">SUMIFS(Ventas!$F$2:$F$291,Ventas!$A$2:$A$291,"&gt;="&amp;A74,Ventas!$A$2:$A$291,"&lt;="&amp;B74)</f>
        <v>0</v>
      </c>
    </row>
    <row r="75" spans="1:3" ht="15" customHeight="1" x14ac:dyDescent="0.3">
      <c r="A75" s="5">
        <f t="shared" ca="1" si="1"/>
        <v>46461</v>
      </c>
      <c r="B75" s="5">
        <f t="shared" ca="1" si="0"/>
        <v>46467</v>
      </c>
      <c r="C75" s="12">
        <f ca="1">SUMIFS(Ventas!$F$2:$F$291,Ventas!$A$2:$A$291,"&gt;="&amp;A75,Ventas!$A$2:$A$291,"&lt;="&amp;B75)</f>
        <v>0</v>
      </c>
    </row>
    <row r="76" spans="1:3" ht="15" customHeight="1" x14ac:dyDescent="0.3">
      <c r="A76" s="5">
        <f t="shared" ca="1" si="1"/>
        <v>46468</v>
      </c>
      <c r="B76" s="5">
        <f t="shared" ca="1" si="0"/>
        <v>46474</v>
      </c>
      <c r="C76" s="12">
        <f ca="1">SUMIFS(Ventas!$F$2:$F$291,Ventas!$A$2:$A$291,"&gt;="&amp;A76,Ventas!$A$2:$A$291,"&lt;="&amp;B76)</f>
        <v>0</v>
      </c>
    </row>
    <row r="77" spans="1:3" ht="15" customHeight="1" x14ac:dyDescent="0.3">
      <c r="A77" s="5">
        <f t="shared" ca="1" si="1"/>
        <v>46475</v>
      </c>
      <c r="B77" s="5">
        <f t="shared" ca="1" si="0"/>
        <v>46481</v>
      </c>
      <c r="C77" s="12">
        <f ca="1">SUMIFS(Ventas!$F$2:$F$291,Ventas!$A$2:$A$291,"&gt;="&amp;A77,Ventas!$A$2:$A$291,"&lt;="&amp;B77)</f>
        <v>0</v>
      </c>
    </row>
    <row r="78" spans="1:3" ht="15" customHeight="1" x14ac:dyDescent="0.3">
      <c r="A78" s="5">
        <f t="shared" ca="1" si="1"/>
        <v>46482</v>
      </c>
      <c r="B78" s="5">
        <f t="shared" ca="1" si="0"/>
        <v>46488</v>
      </c>
      <c r="C78" s="12">
        <f ca="1">SUMIFS(Ventas!$F$2:$F$291,Ventas!$A$2:$A$291,"&gt;="&amp;A78,Ventas!$A$2:$A$291,"&lt;="&amp;B78)</f>
        <v>0</v>
      </c>
    </row>
    <row r="79" spans="1:3" ht="15" customHeight="1" x14ac:dyDescent="0.3">
      <c r="A79" s="5">
        <f t="shared" ca="1" si="1"/>
        <v>46489</v>
      </c>
      <c r="B79" s="5">
        <f t="shared" ca="1" si="0"/>
        <v>46495</v>
      </c>
      <c r="C79" s="12">
        <f ca="1">SUMIFS(Ventas!$F$2:$F$291,Ventas!$A$2:$A$291,"&gt;="&amp;A79,Ventas!$A$2:$A$291,"&lt;="&amp;B79)</f>
        <v>0</v>
      </c>
    </row>
    <row r="80" spans="1:3" ht="15" customHeight="1" x14ac:dyDescent="0.3">
      <c r="A80" s="5">
        <f t="shared" ca="1" si="1"/>
        <v>46496</v>
      </c>
      <c r="B80" s="5">
        <f t="shared" ca="1" si="0"/>
        <v>46502</v>
      </c>
      <c r="C80" s="12">
        <f ca="1">SUMIFS(Ventas!$F$2:$F$291,Ventas!$A$2:$A$291,"&gt;="&amp;A80,Ventas!$A$2:$A$291,"&lt;="&amp;B80)</f>
        <v>0</v>
      </c>
    </row>
    <row r="81" spans="1:3" ht="15" customHeight="1" x14ac:dyDescent="0.3">
      <c r="A81" s="5">
        <f t="shared" ca="1" si="1"/>
        <v>46503</v>
      </c>
      <c r="B81" s="5">
        <f t="shared" ref="B81:B108" ca="1" si="2">A81+6</f>
        <v>46509</v>
      </c>
      <c r="C81" s="12">
        <f ca="1">SUMIFS(Ventas!$F$2:$F$291,Ventas!$A$2:$A$291,"&gt;="&amp;A81,Ventas!$A$2:$A$291,"&lt;="&amp;B81)</f>
        <v>0</v>
      </c>
    </row>
    <row r="82" spans="1:3" ht="15" customHeight="1" x14ac:dyDescent="0.3">
      <c r="A82" s="5">
        <f t="shared" ref="A82:A108" ca="1" si="3">A81+7</f>
        <v>46510</v>
      </c>
      <c r="B82" s="5">
        <f t="shared" ca="1" si="2"/>
        <v>46516</v>
      </c>
      <c r="C82" s="12">
        <f ca="1">SUMIFS(Ventas!$F$2:$F$291,Ventas!$A$2:$A$291,"&gt;="&amp;A82,Ventas!$A$2:$A$291,"&lt;="&amp;B82)</f>
        <v>0</v>
      </c>
    </row>
    <row r="83" spans="1:3" ht="15" customHeight="1" x14ac:dyDescent="0.3">
      <c r="A83" s="5">
        <f t="shared" ca="1" si="3"/>
        <v>46517</v>
      </c>
      <c r="B83" s="5">
        <f t="shared" ca="1" si="2"/>
        <v>46523</v>
      </c>
      <c r="C83" s="12">
        <f ca="1">SUMIFS(Ventas!$F$2:$F$291,Ventas!$A$2:$A$291,"&gt;="&amp;A83,Ventas!$A$2:$A$291,"&lt;="&amp;B83)</f>
        <v>0</v>
      </c>
    </row>
    <row r="84" spans="1:3" ht="15" customHeight="1" x14ac:dyDescent="0.3">
      <c r="A84" s="5">
        <f t="shared" ca="1" si="3"/>
        <v>46524</v>
      </c>
      <c r="B84" s="5">
        <f t="shared" ca="1" si="2"/>
        <v>46530</v>
      </c>
      <c r="C84" s="12">
        <f ca="1">SUMIFS(Ventas!$F$2:$F$291,Ventas!$A$2:$A$291,"&gt;="&amp;A84,Ventas!$A$2:$A$291,"&lt;="&amp;B84)</f>
        <v>0</v>
      </c>
    </row>
    <row r="85" spans="1:3" ht="15" customHeight="1" x14ac:dyDescent="0.3">
      <c r="A85" s="5">
        <f t="shared" ca="1" si="3"/>
        <v>46531</v>
      </c>
      <c r="B85" s="5">
        <f t="shared" ca="1" si="2"/>
        <v>46537</v>
      </c>
      <c r="C85" s="12">
        <f ca="1">SUMIFS(Ventas!$F$2:$F$291,Ventas!$A$2:$A$291,"&gt;="&amp;A85,Ventas!$A$2:$A$291,"&lt;="&amp;B85)</f>
        <v>0</v>
      </c>
    </row>
    <row r="86" spans="1:3" ht="15" customHeight="1" x14ac:dyDescent="0.3">
      <c r="A86" s="5">
        <f t="shared" ca="1" si="3"/>
        <v>46538</v>
      </c>
      <c r="B86" s="5">
        <f t="shared" ca="1" si="2"/>
        <v>46544</v>
      </c>
      <c r="C86" s="12">
        <f ca="1">SUMIFS(Ventas!$F$2:$F$291,Ventas!$A$2:$A$291,"&gt;="&amp;A86,Ventas!$A$2:$A$291,"&lt;="&amp;B86)</f>
        <v>0</v>
      </c>
    </row>
    <row r="87" spans="1:3" ht="15" customHeight="1" x14ac:dyDescent="0.3">
      <c r="A87" s="5">
        <f t="shared" ca="1" si="3"/>
        <v>46545</v>
      </c>
      <c r="B87" s="5">
        <f t="shared" ca="1" si="2"/>
        <v>46551</v>
      </c>
      <c r="C87" s="12">
        <f ca="1">SUMIFS(Ventas!$F$2:$F$291,Ventas!$A$2:$A$291,"&gt;="&amp;A87,Ventas!$A$2:$A$291,"&lt;="&amp;B87)</f>
        <v>0</v>
      </c>
    </row>
    <row r="88" spans="1:3" ht="15" customHeight="1" x14ac:dyDescent="0.3">
      <c r="A88" s="5">
        <f t="shared" ca="1" si="3"/>
        <v>46552</v>
      </c>
      <c r="B88" s="5">
        <f t="shared" ca="1" si="2"/>
        <v>46558</v>
      </c>
      <c r="C88" s="12">
        <f ca="1">SUMIFS(Ventas!$F$2:$F$291,Ventas!$A$2:$A$291,"&gt;="&amp;A88,Ventas!$A$2:$A$291,"&lt;="&amp;B88)</f>
        <v>0</v>
      </c>
    </row>
    <row r="89" spans="1:3" ht="15" customHeight="1" x14ac:dyDescent="0.3">
      <c r="A89" s="5">
        <f t="shared" ca="1" si="3"/>
        <v>46559</v>
      </c>
      <c r="B89" s="5">
        <f t="shared" ca="1" si="2"/>
        <v>46565</v>
      </c>
      <c r="C89" s="12">
        <f ca="1">SUMIFS(Ventas!$F$2:$F$291,Ventas!$A$2:$A$291,"&gt;="&amp;A89,Ventas!$A$2:$A$291,"&lt;="&amp;B89)</f>
        <v>0</v>
      </c>
    </row>
    <row r="90" spans="1:3" ht="15" customHeight="1" x14ac:dyDescent="0.3">
      <c r="A90" s="5">
        <f t="shared" ca="1" si="3"/>
        <v>46566</v>
      </c>
      <c r="B90" s="5">
        <f t="shared" ca="1" si="2"/>
        <v>46572</v>
      </c>
      <c r="C90" s="12">
        <f ca="1">SUMIFS(Ventas!$F$2:$F$291,Ventas!$A$2:$A$291,"&gt;="&amp;A90,Ventas!$A$2:$A$291,"&lt;="&amp;B90)</f>
        <v>0</v>
      </c>
    </row>
    <row r="91" spans="1:3" ht="15" customHeight="1" x14ac:dyDescent="0.3">
      <c r="A91" s="5">
        <f t="shared" ca="1" si="3"/>
        <v>46573</v>
      </c>
      <c r="B91" s="5">
        <f t="shared" ca="1" si="2"/>
        <v>46579</v>
      </c>
      <c r="C91" s="12">
        <f ca="1">SUMIFS(Ventas!$F$2:$F$291,Ventas!$A$2:$A$291,"&gt;="&amp;A91,Ventas!$A$2:$A$291,"&lt;="&amp;B91)</f>
        <v>0</v>
      </c>
    </row>
    <row r="92" spans="1:3" ht="15" customHeight="1" x14ac:dyDescent="0.3">
      <c r="A92" s="5">
        <f t="shared" ca="1" si="3"/>
        <v>46580</v>
      </c>
      <c r="B92" s="5">
        <f t="shared" ca="1" si="2"/>
        <v>46586</v>
      </c>
      <c r="C92" s="12">
        <f ca="1">SUMIFS(Ventas!$F$2:$F$291,Ventas!$A$2:$A$291,"&gt;="&amp;A92,Ventas!$A$2:$A$291,"&lt;="&amp;B92)</f>
        <v>0</v>
      </c>
    </row>
    <row r="93" spans="1:3" ht="15" customHeight="1" x14ac:dyDescent="0.3">
      <c r="A93" s="5">
        <f t="shared" ca="1" si="3"/>
        <v>46587</v>
      </c>
      <c r="B93" s="5">
        <f t="shared" ca="1" si="2"/>
        <v>46593</v>
      </c>
      <c r="C93" s="12">
        <f ca="1">SUMIFS(Ventas!$F$2:$F$291,Ventas!$A$2:$A$291,"&gt;="&amp;A93,Ventas!$A$2:$A$291,"&lt;="&amp;B93)</f>
        <v>0</v>
      </c>
    </row>
    <row r="94" spans="1:3" ht="15" customHeight="1" x14ac:dyDescent="0.3">
      <c r="A94" s="5">
        <f t="shared" ca="1" si="3"/>
        <v>46594</v>
      </c>
      <c r="B94" s="5">
        <f t="shared" ca="1" si="2"/>
        <v>46600</v>
      </c>
      <c r="C94" s="12">
        <f ca="1">SUMIFS(Ventas!$F$2:$F$291,Ventas!$A$2:$A$291,"&gt;="&amp;A94,Ventas!$A$2:$A$291,"&lt;="&amp;B94)</f>
        <v>0</v>
      </c>
    </row>
    <row r="95" spans="1:3" ht="15" customHeight="1" x14ac:dyDescent="0.3">
      <c r="A95" s="5">
        <f t="shared" ca="1" si="3"/>
        <v>46601</v>
      </c>
      <c r="B95" s="5">
        <f t="shared" ca="1" si="2"/>
        <v>46607</v>
      </c>
      <c r="C95" s="12">
        <f ca="1">SUMIFS(Ventas!$F$2:$F$291,Ventas!$A$2:$A$291,"&gt;="&amp;A95,Ventas!$A$2:$A$291,"&lt;="&amp;B95)</f>
        <v>0</v>
      </c>
    </row>
    <row r="96" spans="1:3" ht="15" customHeight="1" x14ac:dyDescent="0.3">
      <c r="A96" s="5">
        <f t="shared" ca="1" si="3"/>
        <v>46608</v>
      </c>
      <c r="B96" s="5">
        <f t="shared" ca="1" si="2"/>
        <v>46614</v>
      </c>
      <c r="C96" s="12">
        <f ca="1">SUMIFS(Ventas!$F$2:$F$291,Ventas!$A$2:$A$291,"&gt;="&amp;A96,Ventas!$A$2:$A$291,"&lt;="&amp;B96)</f>
        <v>0</v>
      </c>
    </row>
    <row r="97" spans="1:3" ht="15" customHeight="1" x14ac:dyDescent="0.3">
      <c r="A97" s="5">
        <f t="shared" ca="1" si="3"/>
        <v>46615</v>
      </c>
      <c r="B97" s="5">
        <f t="shared" ca="1" si="2"/>
        <v>46621</v>
      </c>
      <c r="C97" s="12">
        <f ca="1">SUMIFS(Ventas!$F$2:$F$291,Ventas!$A$2:$A$291,"&gt;="&amp;A97,Ventas!$A$2:$A$291,"&lt;="&amp;B97)</f>
        <v>0</v>
      </c>
    </row>
    <row r="98" spans="1:3" ht="15" customHeight="1" x14ac:dyDescent="0.3">
      <c r="A98" s="5">
        <f t="shared" ca="1" si="3"/>
        <v>46622</v>
      </c>
      <c r="B98" s="5">
        <f t="shared" ca="1" si="2"/>
        <v>46628</v>
      </c>
      <c r="C98" s="12">
        <f ca="1">SUMIFS(Ventas!$F$2:$F$291,Ventas!$A$2:$A$291,"&gt;="&amp;A98,Ventas!$A$2:$A$291,"&lt;="&amp;B98)</f>
        <v>0</v>
      </c>
    </row>
    <row r="99" spans="1:3" ht="15" customHeight="1" x14ac:dyDescent="0.3">
      <c r="A99" s="5">
        <f t="shared" ca="1" si="3"/>
        <v>46629</v>
      </c>
      <c r="B99" s="5">
        <f t="shared" ca="1" si="2"/>
        <v>46635</v>
      </c>
      <c r="C99" s="12">
        <f ca="1">SUMIFS(Ventas!$F$2:$F$291,Ventas!$A$2:$A$291,"&gt;="&amp;A99,Ventas!$A$2:$A$291,"&lt;="&amp;B99)</f>
        <v>0</v>
      </c>
    </row>
    <row r="100" spans="1:3" ht="15" customHeight="1" x14ac:dyDescent="0.3">
      <c r="A100" s="5">
        <f t="shared" ca="1" si="3"/>
        <v>46636</v>
      </c>
      <c r="B100" s="5">
        <f t="shared" ca="1" si="2"/>
        <v>46642</v>
      </c>
      <c r="C100" s="12">
        <f ca="1">SUMIFS(Ventas!$F$2:$F$291,Ventas!$A$2:$A$291,"&gt;="&amp;A100,Ventas!$A$2:$A$291,"&lt;="&amp;B100)</f>
        <v>0</v>
      </c>
    </row>
    <row r="101" spans="1:3" ht="15" customHeight="1" x14ac:dyDescent="0.3">
      <c r="A101" s="5">
        <f t="shared" ca="1" si="3"/>
        <v>46643</v>
      </c>
      <c r="B101" s="5">
        <f t="shared" ca="1" si="2"/>
        <v>46649</v>
      </c>
      <c r="C101" s="12">
        <f ca="1">SUMIFS(Ventas!$F$2:$F$291,Ventas!$A$2:$A$291,"&gt;="&amp;A101,Ventas!$A$2:$A$291,"&lt;="&amp;B101)</f>
        <v>0</v>
      </c>
    </row>
    <row r="102" spans="1:3" ht="15" customHeight="1" x14ac:dyDescent="0.3">
      <c r="A102" s="5">
        <f t="shared" ca="1" si="3"/>
        <v>46650</v>
      </c>
      <c r="B102" s="5">
        <f t="shared" ca="1" si="2"/>
        <v>46656</v>
      </c>
      <c r="C102" s="12">
        <f ca="1">SUMIFS(Ventas!$F$2:$F$291,Ventas!$A$2:$A$291,"&gt;="&amp;A102,Ventas!$A$2:$A$291,"&lt;="&amp;B102)</f>
        <v>0</v>
      </c>
    </row>
    <row r="103" spans="1:3" ht="15" customHeight="1" x14ac:dyDescent="0.3">
      <c r="A103" s="5">
        <f t="shared" ca="1" si="3"/>
        <v>46657</v>
      </c>
      <c r="B103" s="5">
        <f t="shared" ca="1" si="2"/>
        <v>46663</v>
      </c>
      <c r="C103" s="12">
        <f ca="1">SUMIFS(Ventas!$F$2:$F$291,Ventas!$A$2:$A$291,"&gt;="&amp;A103,Ventas!$A$2:$A$291,"&lt;="&amp;B103)</f>
        <v>0</v>
      </c>
    </row>
    <row r="104" spans="1:3" ht="15" customHeight="1" x14ac:dyDescent="0.3">
      <c r="A104" s="5">
        <f t="shared" ca="1" si="3"/>
        <v>46664</v>
      </c>
      <c r="B104" s="5">
        <f t="shared" ca="1" si="2"/>
        <v>46670</v>
      </c>
      <c r="C104" s="12">
        <f ca="1">SUMIFS(Ventas!$F$2:$F$291,Ventas!$A$2:$A$291,"&gt;="&amp;A104,Ventas!$A$2:$A$291,"&lt;="&amp;B104)</f>
        <v>0</v>
      </c>
    </row>
    <row r="105" spans="1:3" ht="15" customHeight="1" x14ac:dyDescent="0.3">
      <c r="A105" s="5">
        <f t="shared" ca="1" si="3"/>
        <v>46671</v>
      </c>
      <c r="B105" s="5">
        <f t="shared" ca="1" si="2"/>
        <v>46677</v>
      </c>
      <c r="C105" s="12">
        <f ca="1">SUMIFS(Ventas!$F$2:$F$291,Ventas!$A$2:$A$291,"&gt;="&amp;A105,Ventas!$A$2:$A$291,"&lt;="&amp;B105)</f>
        <v>0</v>
      </c>
    </row>
    <row r="106" spans="1:3" ht="15" customHeight="1" x14ac:dyDescent="0.3">
      <c r="A106" s="5">
        <f t="shared" ca="1" si="3"/>
        <v>46678</v>
      </c>
      <c r="B106" s="5">
        <f t="shared" ca="1" si="2"/>
        <v>46684</v>
      </c>
      <c r="C106" s="12">
        <f ca="1">SUMIFS(Ventas!$F$2:$F$291,Ventas!$A$2:$A$291,"&gt;="&amp;A106,Ventas!$A$2:$A$291,"&lt;="&amp;B106)</f>
        <v>0</v>
      </c>
    </row>
    <row r="107" spans="1:3" ht="15" customHeight="1" x14ac:dyDescent="0.3">
      <c r="A107" s="5">
        <f t="shared" ca="1" si="3"/>
        <v>46685</v>
      </c>
      <c r="B107" s="5">
        <f t="shared" ca="1" si="2"/>
        <v>46691</v>
      </c>
      <c r="C107" s="12">
        <f ca="1">SUMIFS(Ventas!$F$2:$F$291,Ventas!$A$2:$A$291,"&gt;="&amp;A107,Ventas!$A$2:$A$291,"&lt;="&amp;B107)</f>
        <v>0</v>
      </c>
    </row>
    <row r="108" spans="1:3" ht="15" customHeight="1" x14ac:dyDescent="0.3">
      <c r="A108" s="5">
        <f t="shared" ca="1" si="3"/>
        <v>46692</v>
      </c>
      <c r="B108" s="5">
        <f t="shared" ca="1" si="2"/>
        <v>46698</v>
      </c>
      <c r="C108" s="12">
        <f ca="1">SUMIFS(Ventas!$F$2:$F$291,Ventas!$A$2:$A$291,"&gt;="&amp;A108,Ventas!$A$2:$A$291,"&lt;="&amp;B108)</f>
        <v>0</v>
      </c>
    </row>
    <row r="110" spans="1:3" ht="15" customHeight="1" x14ac:dyDescent="0.3">
      <c r="A110" s="19" t="s">
        <v>52</v>
      </c>
    </row>
    <row r="111" spans="1:3" ht="17.399999999999999" x14ac:dyDescent="0.3">
      <c r="A111" s="20" t="s">
        <v>53</v>
      </c>
    </row>
    <row r="113" spans="1:2" x14ac:dyDescent="0.3">
      <c r="A113" s="21" t="s">
        <v>54</v>
      </c>
      <c r="B113" s="22">
        <f>SUM(Ventas!F2:F291)</f>
        <v>1255000</v>
      </c>
    </row>
    <row r="114" spans="1:2" x14ac:dyDescent="0.3">
      <c r="A114" s="21" t="s">
        <v>55</v>
      </c>
      <c r="B114" s="22">
        <f>SUM(Gastos!D2:D299)</f>
        <v>27400</v>
      </c>
    </row>
    <row r="115" spans="1:2" x14ac:dyDescent="0.3">
      <c r="A115" s="21" t="s">
        <v>56</v>
      </c>
      <c r="B115" s="22">
        <f>B113-B114</f>
        <v>1227600</v>
      </c>
    </row>
    <row r="118" spans="1:2" ht="15.6" x14ac:dyDescent="0.3">
      <c r="A118" s="23" t="s">
        <v>57</v>
      </c>
    </row>
    <row r="119" spans="1:2" x14ac:dyDescent="0.3">
      <c r="A119" s="2" t="s">
        <v>58</v>
      </c>
      <c r="B119" s="2" t="s">
        <v>59</v>
      </c>
    </row>
    <row r="120" spans="1:2" x14ac:dyDescent="0.3">
      <c r="A120" s="24" t="s">
        <v>60</v>
      </c>
      <c r="B120" s="25">
        <f>SUMIFS(Gastos!$D$2:$D$299,Gastos!$B$2:$B$299,A120)</f>
        <v>0</v>
      </c>
    </row>
    <row r="121" spans="1:2" x14ac:dyDescent="0.3">
      <c r="A121" s="24" t="s">
        <v>61</v>
      </c>
      <c r="B121" s="25">
        <f>SUMIFS(Gastos!$D$2:$D$299,Gastos!$B$2:$B$299,A121)</f>
        <v>0</v>
      </c>
    </row>
    <row r="122" spans="1:2" x14ac:dyDescent="0.3">
      <c r="A122" s="24" t="s">
        <v>62</v>
      </c>
      <c r="B122" s="25">
        <f>SUMIFS(Gastos!$D$2:$D$299,Gastos!$B$2:$B$299,A122)</f>
        <v>0</v>
      </c>
    </row>
    <row r="123" spans="1:2" x14ac:dyDescent="0.3">
      <c r="A123" s="24" t="s">
        <v>63</v>
      </c>
      <c r="B123" s="25">
        <f>SUMIFS(Gastos!$D$2:$D$299,Gastos!$B$2:$B$299,A123)</f>
        <v>0</v>
      </c>
    </row>
    <row r="124" spans="1:2" x14ac:dyDescent="0.3">
      <c r="A124" s="24" t="s">
        <v>64</v>
      </c>
      <c r="B124" s="25">
        <f>SUMIFS(Gastos!$D$2:$D$299,Gastos!$B$2:$B$299,A124)</f>
        <v>0</v>
      </c>
    </row>
    <row r="125" spans="1:2" x14ac:dyDescent="0.3">
      <c r="A125" s="24" t="s">
        <v>87</v>
      </c>
      <c r="B125" s="25">
        <f>SUMIFS(Gastos!$D$2:$D$299,Gastos!$B$2:$B$299,A125)</f>
        <v>27400</v>
      </c>
    </row>
    <row r="126" spans="1:2" x14ac:dyDescent="0.3">
      <c r="A126" s="24" t="s">
        <v>65</v>
      </c>
      <c r="B126" s="25">
        <f>SUMIFS(Gastos!$D$2:$D$299,Gastos!$B$2:$B$299,A126)</f>
        <v>0</v>
      </c>
    </row>
    <row r="127" spans="1:2" x14ac:dyDescent="0.3">
      <c r="A127" s="24" t="s">
        <v>66</v>
      </c>
      <c r="B127" s="25">
        <f>SUMIFS(Gastos!$D$2:$D$299,Gastos!$B$2:$B$299,A127)</f>
        <v>0</v>
      </c>
    </row>
    <row r="128" spans="1:2" x14ac:dyDescent="0.3">
      <c r="A128" s="26" t="s">
        <v>48</v>
      </c>
      <c r="B128" s="27">
        <f>SUM(B120:B127)</f>
        <v>27400</v>
      </c>
    </row>
    <row r="131" spans="1:2" ht="15.6" x14ac:dyDescent="0.3">
      <c r="A131" s="23" t="s">
        <v>67</v>
      </c>
    </row>
    <row r="132" spans="1:2" x14ac:dyDescent="0.3">
      <c r="A132" s="2" t="s">
        <v>15</v>
      </c>
      <c r="B132" s="2" t="s">
        <v>59</v>
      </c>
    </row>
    <row r="133" spans="1:2" x14ac:dyDescent="0.3">
      <c r="A133" s="24" t="s">
        <v>17</v>
      </c>
      <c r="B133" s="25">
        <f>SUMIFS(Gastos!$D$2:$D$299,Gastos!$F$2:$F$299,1)</f>
        <v>0</v>
      </c>
    </row>
    <row r="134" spans="1:2" x14ac:dyDescent="0.3">
      <c r="A134" s="24" t="s">
        <v>18</v>
      </c>
      <c r="B134" s="25">
        <f>SUMIFS(Gastos!$D$2:$D$299,Gastos!$F$2:$F$299,2)</f>
        <v>0</v>
      </c>
    </row>
    <row r="135" spans="1:2" x14ac:dyDescent="0.3">
      <c r="A135" s="24" t="s">
        <v>19</v>
      </c>
      <c r="B135" s="25">
        <f>SUMIFS(Gastos!$D$2:$D$299,Gastos!$F$2:$F$299,3)</f>
        <v>0</v>
      </c>
    </row>
    <row r="136" spans="1:2" x14ac:dyDescent="0.3">
      <c r="A136" s="24" t="s">
        <v>20</v>
      </c>
      <c r="B136" s="25">
        <f>SUMIFS(Gastos!$D$2:$D$299,Gastos!$F$2:$F$299,4)</f>
        <v>0</v>
      </c>
    </row>
    <row r="137" spans="1:2" x14ac:dyDescent="0.3">
      <c r="A137" s="24" t="s">
        <v>21</v>
      </c>
      <c r="B137" s="25">
        <f>SUMIFS(Gastos!$D$2:$D$299,Gastos!$F$2:$F$299,5)</f>
        <v>0</v>
      </c>
    </row>
    <row r="138" spans="1:2" x14ac:dyDescent="0.3">
      <c r="A138" s="24" t="s">
        <v>22</v>
      </c>
      <c r="B138" s="25">
        <f>SUMIFS(Gastos!$D$2:$D$299,Gastos!$F$2:$F$299,6)</f>
        <v>0</v>
      </c>
    </row>
    <row r="139" spans="1:2" x14ac:dyDescent="0.3">
      <c r="A139" s="24" t="s">
        <v>23</v>
      </c>
      <c r="B139" s="25">
        <f>SUMIFS(Gastos!$D$2:$D$299,Gastos!$F$2:$F$299,7)</f>
        <v>0</v>
      </c>
    </row>
    <row r="140" spans="1:2" x14ac:dyDescent="0.3">
      <c r="A140" s="24" t="s">
        <v>24</v>
      </c>
      <c r="B140" s="25">
        <f>SUMIFS(Gastos!$D$2:$D$299,Gastos!$F$2:$F$299,8)</f>
        <v>0</v>
      </c>
    </row>
    <row r="141" spans="1:2" x14ac:dyDescent="0.3">
      <c r="A141" s="24" t="s">
        <v>25</v>
      </c>
      <c r="B141" s="25">
        <f>SUMIFS(Gastos!$D$2:$D$299,Gastos!$F$2:$F$299,9)</f>
        <v>27400</v>
      </c>
    </row>
    <row r="142" spans="1:2" x14ac:dyDescent="0.3">
      <c r="A142" s="24" t="s">
        <v>26</v>
      </c>
      <c r="B142" s="25">
        <f>SUMIFS(Gastos!$D$2:$D$299,Gastos!$F$2:$F$299,10)</f>
        <v>0</v>
      </c>
    </row>
    <row r="143" spans="1:2" x14ac:dyDescent="0.3">
      <c r="A143" s="24" t="s">
        <v>27</v>
      </c>
      <c r="B143" s="25">
        <f>SUMIFS(Gastos!$D$2:$D$299,Gastos!$F$2:$F$299,11)</f>
        <v>0</v>
      </c>
    </row>
    <row r="144" spans="1:2" x14ac:dyDescent="0.3">
      <c r="A144" s="24" t="s">
        <v>28</v>
      </c>
      <c r="B144" s="25">
        <f>SUMIFS(Gastos!$D$2:$D$299,Gastos!$F$2:$F$299,12)</f>
        <v>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5"/>
  <sheetViews>
    <sheetView zoomScaleNormal="100" workbookViewId="0">
      <pane ySplit="1" topLeftCell="A2" activePane="bottomLeft" state="frozen"/>
      <selection pane="bottomLeft" activeCell="F7" sqref="F7"/>
    </sheetView>
  </sheetViews>
  <sheetFormatPr baseColWidth="10" defaultColWidth="8.6640625" defaultRowHeight="14.4" x14ac:dyDescent="0.3"/>
  <cols>
    <col min="1" max="1" width="14" style="1" customWidth="1"/>
    <col min="2" max="2" width="41.44140625" style="1" customWidth="1"/>
    <col min="3" max="3" width="18" style="1" customWidth="1"/>
    <col min="4" max="5" width="14" style="1" customWidth="1"/>
    <col min="6" max="6" width="30" style="1" customWidth="1"/>
  </cols>
  <sheetData>
    <row r="1" spans="1:6" ht="15" customHeight="1" x14ac:dyDescent="0.3">
      <c r="A1" s="2" t="s">
        <v>68</v>
      </c>
      <c r="B1" s="2" t="s">
        <v>69</v>
      </c>
      <c r="C1" s="2" t="s">
        <v>70</v>
      </c>
      <c r="D1" s="2" t="s">
        <v>0</v>
      </c>
      <c r="E1" s="2" t="s">
        <v>71</v>
      </c>
      <c r="F1" s="2" t="s">
        <v>72</v>
      </c>
    </row>
    <row r="2" spans="1:6" s="36" customFormat="1" ht="42" customHeight="1" x14ac:dyDescent="0.3">
      <c r="A2" s="32" t="s">
        <v>82</v>
      </c>
      <c r="B2" s="35" t="s">
        <v>81</v>
      </c>
      <c r="C2" s="35" t="s">
        <v>83</v>
      </c>
      <c r="D2" s="33">
        <v>46279</v>
      </c>
      <c r="E2" s="34">
        <v>395519</v>
      </c>
      <c r="F2" s="35" t="s">
        <v>84</v>
      </c>
    </row>
    <row r="3" spans="1:6" ht="39" customHeight="1" x14ac:dyDescent="0.3">
      <c r="A3" s="32" t="s">
        <v>82</v>
      </c>
      <c r="B3" s="35" t="s">
        <v>85</v>
      </c>
      <c r="C3" s="35" t="s">
        <v>83</v>
      </c>
      <c r="D3" s="33">
        <v>46280</v>
      </c>
      <c r="E3" s="34">
        <v>275904</v>
      </c>
      <c r="F3" s="35" t="s">
        <v>84</v>
      </c>
    </row>
    <row r="4" spans="1:6" ht="15" customHeight="1" x14ac:dyDescent="0.3">
      <c r="A4" s="7"/>
      <c r="B4" s="28"/>
      <c r="C4" s="28"/>
      <c r="D4" s="5"/>
      <c r="E4" s="12"/>
      <c r="F4" s="28"/>
    </row>
    <row r="5" spans="1:6" ht="15" customHeight="1" x14ac:dyDescent="0.3">
      <c r="A5" s="7"/>
      <c r="B5" s="28"/>
      <c r="C5" s="28"/>
      <c r="D5" s="5"/>
      <c r="E5" s="12"/>
      <c r="F5" s="28"/>
    </row>
    <row r="6" spans="1:6" ht="15" customHeight="1" x14ac:dyDescent="0.3">
      <c r="A6" s="7"/>
      <c r="B6" s="28"/>
      <c r="C6" s="28"/>
      <c r="D6" s="5"/>
      <c r="E6" s="12"/>
      <c r="F6" s="28"/>
    </row>
    <row r="7" spans="1:6" ht="15" customHeight="1" x14ac:dyDescent="0.3">
      <c r="A7" s="7"/>
      <c r="B7" s="28"/>
      <c r="C7" s="28"/>
      <c r="D7" s="5"/>
      <c r="E7" s="12"/>
      <c r="F7" s="28"/>
    </row>
    <row r="8" spans="1:6" ht="15" customHeight="1" x14ac:dyDescent="0.3">
      <c r="A8" s="7"/>
      <c r="B8" s="28"/>
      <c r="C8" s="28"/>
      <c r="D8" s="5"/>
      <c r="E8" s="12"/>
      <c r="F8" s="28"/>
    </row>
    <row r="9" spans="1:6" ht="15" customHeight="1" x14ac:dyDescent="0.3">
      <c r="A9" s="7"/>
      <c r="B9" s="28"/>
      <c r="C9" s="28"/>
      <c r="D9" s="5"/>
      <c r="E9" s="12"/>
      <c r="F9" s="28"/>
    </row>
    <row r="10" spans="1:6" ht="15" customHeight="1" x14ac:dyDescent="0.3">
      <c r="A10" s="7"/>
      <c r="B10" s="28"/>
      <c r="C10" s="28"/>
      <c r="D10" s="5"/>
      <c r="E10" s="12"/>
      <c r="F10" s="28"/>
    </row>
    <row r="11" spans="1:6" ht="15" customHeight="1" x14ac:dyDescent="0.3">
      <c r="A11" s="7"/>
      <c r="B11" s="28"/>
      <c r="C11" s="28"/>
      <c r="D11" s="5"/>
      <c r="E11" s="12"/>
      <c r="F11" s="28"/>
    </row>
    <row r="12" spans="1:6" ht="15" customHeight="1" x14ac:dyDescent="0.3">
      <c r="A12" s="7"/>
      <c r="B12" s="28"/>
      <c r="C12" s="28"/>
      <c r="D12" s="5"/>
      <c r="E12" s="12"/>
      <c r="F12" s="28"/>
    </row>
    <row r="13" spans="1:6" ht="15" customHeight="1" x14ac:dyDescent="0.3">
      <c r="A13" s="7"/>
      <c r="B13" s="28"/>
      <c r="C13" s="28"/>
      <c r="D13" s="5"/>
      <c r="E13" s="12"/>
      <c r="F13" s="28"/>
    </row>
    <row r="14" spans="1:6" ht="15" customHeight="1" x14ac:dyDescent="0.3">
      <c r="A14" s="7"/>
      <c r="B14" s="28"/>
      <c r="C14" s="28"/>
      <c r="D14" s="5"/>
      <c r="E14" s="12"/>
      <c r="F14" s="28"/>
    </row>
    <row r="15" spans="1:6" ht="15" customHeight="1" x14ac:dyDescent="0.3">
      <c r="A15" s="7"/>
      <c r="B15" s="28"/>
      <c r="C15" s="28"/>
      <c r="D15" s="5"/>
      <c r="E15" s="12"/>
      <c r="F15" s="28"/>
    </row>
    <row r="16" spans="1:6" ht="15" customHeight="1" x14ac:dyDescent="0.3">
      <c r="A16" s="7"/>
      <c r="B16" s="28"/>
      <c r="C16" s="28"/>
      <c r="D16" s="5"/>
      <c r="E16" s="12"/>
      <c r="F16" s="28"/>
    </row>
    <row r="17" spans="1:6" ht="15" customHeight="1" x14ac:dyDescent="0.3">
      <c r="A17" s="7"/>
      <c r="B17" s="28"/>
      <c r="C17" s="28"/>
      <c r="D17" s="5"/>
      <c r="E17" s="12"/>
      <c r="F17" s="28"/>
    </row>
    <row r="18" spans="1:6" ht="15" customHeight="1" x14ac:dyDescent="0.3">
      <c r="A18" s="7"/>
      <c r="B18" s="28"/>
      <c r="C18" s="28"/>
      <c r="D18" s="5"/>
      <c r="E18" s="12"/>
      <c r="F18" s="28"/>
    </row>
    <row r="19" spans="1:6" ht="15" customHeight="1" x14ac:dyDescent="0.3">
      <c r="A19" s="7"/>
      <c r="B19" s="28"/>
      <c r="C19" s="28"/>
      <c r="D19" s="5"/>
      <c r="E19" s="12"/>
      <c r="F19" s="28"/>
    </row>
    <row r="20" spans="1:6" ht="15" customHeight="1" x14ac:dyDescent="0.3">
      <c r="A20" s="7"/>
      <c r="B20" s="28"/>
      <c r="C20" s="28"/>
      <c r="D20" s="5"/>
      <c r="E20" s="12"/>
      <c r="F20" s="28"/>
    </row>
    <row r="21" spans="1:6" ht="15" customHeight="1" x14ac:dyDescent="0.3">
      <c r="A21" s="7"/>
      <c r="B21" s="28"/>
      <c r="C21" s="28"/>
      <c r="D21" s="5"/>
      <c r="E21" s="12"/>
      <c r="F21" s="28"/>
    </row>
    <row r="22" spans="1:6" ht="15" customHeight="1" x14ac:dyDescent="0.3">
      <c r="A22" s="7"/>
      <c r="B22" s="28"/>
      <c r="C22" s="28"/>
      <c r="D22" s="5"/>
      <c r="E22" s="12"/>
      <c r="F22" s="28"/>
    </row>
    <row r="23" spans="1:6" ht="15" customHeight="1" x14ac:dyDescent="0.3">
      <c r="A23" s="7"/>
      <c r="B23" s="28"/>
      <c r="C23" s="28"/>
      <c r="D23" s="5"/>
      <c r="E23" s="12"/>
      <c r="F23" s="28"/>
    </row>
    <row r="24" spans="1:6" ht="15" customHeight="1" x14ac:dyDescent="0.3">
      <c r="A24" s="7"/>
      <c r="B24" s="28"/>
      <c r="C24" s="28"/>
      <c r="D24" s="5"/>
      <c r="E24" s="12"/>
      <c r="F24" s="28"/>
    </row>
    <row r="25" spans="1:6" ht="15" customHeight="1" x14ac:dyDescent="0.3">
      <c r="A25" s="7"/>
      <c r="B25" s="28"/>
      <c r="C25" s="28"/>
      <c r="D25" s="5"/>
      <c r="E25" s="12"/>
      <c r="F25" s="28"/>
    </row>
    <row r="26" spans="1:6" ht="15" customHeight="1" x14ac:dyDescent="0.3">
      <c r="A26" s="7"/>
      <c r="B26" s="28"/>
      <c r="C26" s="28"/>
      <c r="D26" s="5"/>
      <c r="E26" s="12"/>
      <c r="F26" s="28"/>
    </row>
    <row r="27" spans="1:6" ht="15" customHeight="1" x14ac:dyDescent="0.3">
      <c r="A27" s="7"/>
      <c r="B27" s="28"/>
      <c r="C27" s="28"/>
      <c r="D27" s="5"/>
      <c r="E27" s="12"/>
      <c r="F27" s="28"/>
    </row>
    <row r="28" spans="1:6" ht="15" customHeight="1" x14ac:dyDescent="0.3">
      <c r="A28" s="7"/>
      <c r="B28" s="28"/>
      <c r="C28" s="28"/>
      <c r="D28" s="5"/>
      <c r="E28" s="12"/>
      <c r="F28" s="28"/>
    </row>
    <row r="29" spans="1:6" ht="15" customHeight="1" x14ac:dyDescent="0.3">
      <c r="A29" s="7"/>
      <c r="B29" s="28"/>
      <c r="C29" s="28"/>
      <c r="D29" s="5"/>
      <c r="E29" s="12"/>
      <c r="F29" s="28"/>
    </row>
    <row r="30" spans="1:6" ht="15" customHeight="1" x14ac:dyDescent="0.3">
      <c r="A30" s="7"/>
      <c r="B30" s="28"/>
      <c r="C30" s="28"/>
      <c r="D30" s="5"/>
      <c r="E30" s="12"/>
      <c r="F30" s="28"/>
    </row>
    <row r="31" spans="1:6" ht="15" customHeight="1" x14ac:dyDescent="0.3">
      <c r="A31" s="7"/>
      <c r="B31" s="28"/>
      <c r="C31" s="28"/>
      <c r="D31" s="5"/>
      <c r="E31" s="12"/>
      <c r="F31" s="28"/>
    </row>
    <row r="32" spans="1:6" ht="15" customHeight="1" x14ac:dyDescent="0.3">
      <c r="A32" s="7"/>
      <c r="B32" s="28"/>
      <c r="C32" s="28"/>
      <c r="D32" s="5"/>
      <c r="E32" s="12"/>
      <c r="F32" s="28"/>
    </row>
    <row r="33" spans="1:6" ht="15" customHeight="1" x14ac:dyDescent="0.3">
      <c r="A33" s="7"/>
      <c r="B33" s="28"/>
      <c r="C33" s="28"/>
      <c r="D33" s="5"/>
      <c r="E33" s="12"/>
      <c r="F33" s="28"/>
    </row>
    <row r="34" spans="1:6" ht="15" customHeight="1" x14ac:dyDescent="0.3">
      <c r="A34" s="7"/>
      <c r="B34" s="28"/>
      <c r="C34" s="28"/>
      <c r="D34" s="5"/>
      <c r="E34" s="12"/>
      <c r="F34" s="28"/>
    </row>
    <row r="35" spans="1:6" ht="15" customHeight="1" x14ac:dyDescent="0.3">
      <c r="A35" s="7"/>
      <c r="B35" s="28"/>
      <c r="C35" s="28"/>
      <c r="D35" s="5"/>
      <c r="E35" s="12"/>
      <c r="F35" s="28"/>
    </row>
    <row r="36" spans="1:6" ht="15" customHeight="1" x14ac:dyDescent="0.3">
      <c r="A36" s="7"/>
      <c r="B36" s="28"/>
      <c r="C36" s="28"/>
      <c r="D36" s="5"/>
      <c r="E36" s="12"/>
      <c r="F36" s="28"/>
    </row>
    <row r="37" spans="1:6" ht="15" customHeight="1" x14ac:dyDescent="0.3">
      <c r="A37" s="7"/>
      <c r="B37" s="28"/>
      <c r="C37" s="28"/>
      <c r="D37" s="5"/>
      <c r="E37" s="12"/>
      <c r="F37" s="28"/>
    </row>
    <row r="38" spans="1:6" ht="15" customHeight="1" x14ac:dyDescent="0.3">
      <c r="A38" s="7"/>
      <c r="B38" s="28"/>
      <c r="C38" s="28"/>
      <c r="D38" s="5"/>
      <c r="E38" s="12"/>
      <c r="F38" s="28"/>
    </row>
    <row r="39" spans="1:6" ht="15" customHeight="1" x14ac:dyDescent="0.3">
      <c r="A39" s="7"/>
      <c r="B39" s="28"/>
      <c r="C39" s="28"/>
      <c r="D39" s="5"/>
      <c r="E39" s="12"/>
      <c r="F39" s="28"/>
    </row>
    <row r="40" spans="1:6" ht="15" customHeight="1" x14ac:dyDescent="0.3">
      <c r="A40" s="7"/>
      <c r="B40" s="28"/>
      <c r="C40" s="28"/>
      <c r="D40" s="5"/>
      <c r="E40" s="12"/>
      <c r="F40" s="28"/>
    </row>
    <row r="41" spans="1:6" ht="15" customHeight="1" x14ac:dyDescent="0.3">
      <c r="A41" s="7"/>
      <c r="B41" s="28"/>
      <c r="C41" s="28"/>
      <c r="D41" s="5"/>
      <c r="E41" s="12"/>
      <c r="F41" s="28"/>
    </row>
    <row r="42" spans="1:6" ht="15" customHeight="1" x14ac:dyDescent="0.3">
      <c r="A42" s="7"/>
      <c r="B42" s="28"/>
      <c r="C42" s="28"/>
      <c r="D42" s="5"/>
      <c r="E42" s="12"/>
      <c r="F42" s="28"/>
    </row>
    <row r="43" spans="1:6" ht="15" customHeight="1" x14ac:dyDescent="0.3">
      <c r="A43" s="7"/>
      <c r="B43" s="28"/>
      <c r="C43" s="28"/>
      <c r="D43" s="5"/>
      <c r="E43" s="12"/>
      <c r="F43" s="28"/>
    </row>
    <row r="44" spans="1:6" ht="15" customHeight="1" x14ac:dyDescent="0.3">
      <c r="A44" s="7"/>
      <c r="B44" s="28"/>
      <c r="C44" s="28"/>
      <c r="D44" s="5"/>
      <c r="E44" s="12"/>
      <c r="F44" s="28"/>
    </row>
    <row r="45" spans="1:6" ht="15" customHeight="1" x14ac:dyDescent="0.3">
      <c r="A45" s="7"/>
      <c r="B45" s="28"/>
      <c r="C45" s="28"/>
      <c r="D45" s="5"/>
      <c r="E45" s="12"/>
      <c r="F45" s="28"/>
    </row>
    <row r="46" spans="1:6" ht="15" customHeight="1" x14ac:dyDescent="0.3">
      <c r="A46" s="7"/>
      <c r="B46" s="28"/>
      <c r="C46" s="28"/>
      <c r="D46" s="5"/>
      <c r="E46" s="12"/>
      <c r="F46" s="28"/>
    </row>
    <row r="47" spans="1:6" ht="15" customHeight="1" x14ac:dyDescent="0.3">
      <c r="A47" s="7"/>
      <c r="B47" s="28"/>
      <c r="C47" s="28"/>
      <c r="D47" s="5"/>
      <c r="E47" s="12"/>
      <c r="F47" s="28"/>
    </row>
    <row r="48" spans="1:6" ht="15" customHeight="1" x14ac:dyDescent="0.3">
      <c r="A48" s="7"/>
      <c r="B48" s="28"/>
      <c r="C48" s="28"/>
      <c r="D48" s="5"/>
      <c r="E48" s="12"/>
      <c r="F48" s="28"/>
    </row>
    <row r="49" spans="1:6" ht="15" customHeight="1" x14ac:dyDescent="0.3">
      <c r="A49" s="7"/>
      <c r="B49" s="28"/>
      <c r="C49" s="28"/>
      <c r="D49" s="5"/>
      <c r="E49" s="12"/>
      <c r="F49" s="28"/>
    </row>
    <row r="50" spans="1:6" ht="15" customHeight="1" x14ac:dyDescent="0.3">
      <c r="A50" s="7"/>
      <c r="B50" s="28"/>
      <c r="C50" s="28"/>
      <c r="D50" s="5"/>
      <c r="E50" s="12"/>
      <c r="F50" s="28"/>
    </row>
    <row r="51" spans="1:6" ht="15" customHeight="1" x14ac:dyDescent="0.3">
      <c r="A51" s="7"/>
      <c r="B51" s="28"/>
      <c r="C51" s="28"/>
      <c r="D51" s="5"/>
      <c r="E51" s="12"/>
      <c r="F51" s="28"/>
    </row>
    <row r="52" spans="1:6" ht="15" customHeight="1" x14ac:dyDescent="0.3">
      <c r="A52" s="7"/>
      <c r="B52" s="28"/>
      <c r="C52" s="28"/>
      <c r="D52" s="5"/>
      <c r="E52" s="12"/>
      <c r="F52" s="28"/>
    </row>
    <row r="53" spans="1:6" ht="15" customHeight="1" x14ac:dyDescent="0.3">
      <c r="A53" s="7"/>
      <c r="B53" s="28"/>
      <c r="C53" s="28"/>
      <c r="D53" s="5"/>
      <c r="E53" s="12"/>
      <c r="F53" s="28"/>
    </row>
    <row r="54" spans="1:6" ht="15" customHeight="1" x14ac:dyDescent="0.3">
      <c r="A54" s="7"/>
      <c r="B54" s="28"/>
      <c r="C54" s="28"/>
      <c r="D54" s="5"/>
      <c r="E54" s="12"/>
      <c r="F54" s="28"/>
    </row>
    <row r="55" spans="1:6" ht="15" customHeight="1" x14ac:dyDescent="0.3">
      <c r="A55" s="7"/>
      <c r="B55" s="28"/>
      <c r="C55" s="28"/>
      <c r="D55" s="5"/>
      <c r="E55" s="12"/>
      <c r="F55" s="28"/>
    </row>
    <row r="56" spans="1:6" ht="15" customHeight="1" x14ac:dyDescent="0.3">
      <c r="A56" s="7"/>
      <c r="B56" s="28"/>
      <c r="C56" s="28"/>
      <c r="D56" s="5"/>
      <c r="E56" s="12"/>
      <c r="F56" s="28"/>
    </row>
    <row r="57" spans="1:6" ht="15" customHeight="1" x14ac:dyDescent="0.3">
      <c r="A57" s="7"/>
      <c r="B57" s="28"/>
      <c r="C57" s="28"/>
      <c r="D57" s="5"/>
      <c r="E57" s="12"/>
      <c r="F57" s="28"/>
    </row>
    <row r="58" spans="1:6" ht="15" customHeight="1" x14ac:dyDescent="0.3">
      <c r="A58" s="7"/>
      <c r="B58" s="28"/>
      <c r="C58" s="28"/>
      <c r="D58" s="5"/>
      <c r="E58" s="12"/>
      <c r="F58" s="28"/>
    </row>
    <row r="59" spans="1:6" ht="15" customHeight="1" x14ac:dyDescent="0.3">
      <c r="A59" s="7"/>
      <c r="B59" s="28"/>
      <c r="C59" s="28"/>
      <c r="D59" s="5"/>
      <c r="E59" s="12"/>
      <c r="F59" s="28"/>
    </row>
    <row r="60" spans="1:6" ht="15" customHeight="1" x14ac:dyDescent="0.3">
      <c r="A60" s="7"/>
      <c r="B60" s="28"/>
      <c r="C60" s="28"/>
      <c r="D60" s="5"/>
      <c r="E60" s="12"/>
      <c r="F60" s="28"/>
    </row>
    <row r="61" spans="1:6" ht="15" customHeight="1" x14ac:dyDescent="0.3">
      <c r="A61" s="7"/>
      <c r="B61" s="28"/>
      <c r="C61" s="28"/>
      <c r="D61" s="5"/>
      <c r="E61" s="12"/>
      <c r="F61" s="28"/>
    </row>
    <row r="62" spans="1:6" ht="15" customHeight="1" x14ac:dyDescent="0.3">
      <c r="A62" s="7"/>
      <c r="B62" s="28"/>
      <c r="C62" s="28"/>
      <c r="D62" s="5"/>
      <c r="E62" s="12"/>
      <c r="F62" s="28"/>
    </row>
    <row r="63" spans="1:6" ht="15" customHeight="1" x14ac:dyDescent="0.3">
      <c r="A63" s="7"/>
      <c r="B63" s="28"/>
      <c r="C63" s="28"/>
      <c r="D63" s="5"/>
      <c r="E63" s="12"/>
      <c r="F63" s="28"/>
    </row>
    <row r="64" spans="1:6" ht="15" customHeight="1" x14ac:dyDescent="0.3">
      <c r="A64" s="7"/>
      <c r="B64" s="28"/>
      <c r="C64" s="28"/>
      <c r="D64" s="5"/>
      <c r="E64" s="12"/>
      <c r="F64" s="28"/>
    </row>
    <row r="65" spans="1:6" ht="15" customHeight="1" x14ac:dyDescent="0.3">
      <c r="A65" s="7"/>
      <c r="B65" s="28"/>
      <c r="C65" s="28"/>
      <c r="D65" s="5"/>
      <c r="E65" s="12"/>
      <c r="F65" s="28"/>
    </row>
    <row r="66" spans="1:6" ht="15" customHeight="1" x14ac:dyDescent="0.3">
      <c r="A66" s="7"/>
      <c r="B66" s="28"/>
      <c r="C66" s="28"/>
      <c r="D66" s="5"/>
      <c r="E66" s="12"/>
      <c r="F66" s="28"/>
    </row>
    <row r="67" spans="1:6" ht="15" customHeight="1" x14ac:dyDescent="0.3">
      <c r="A67" s="7"/>
      <c r="B67" s="28"/>
      <c r="C67" s="28"/>
      <c r="D67" s="5"/>
      <c r="E67" s="12"/>
      <c r="F67" s="28"/>
    </row>
    <row r="68" spans="1:6" ht="15" customHeight="1" x14ac:dyDescent="0.3">
      <c r="A68" s="7"/>
      <c r="B68" s="28"/>
      <c r="C68" s="28"/>
      <c r="D68" s="5"/>
      <c r="E68" s="12"/>
      <c r="F68" s="28"/>
    </row>
    <row r="69" spans="1:6" ht="15" customHeight="1" x14ac:dyDescent="0.3">
      <c r="A69" s="7"/>
      <c r="B69" s="28"/>
      <c r="C69" s="28"/>
      <c r="D69" s="5"/>
      <c r="E69" s="12"/>
      <c r="F69" s="28"/>
    </row>
    <row r="70" spans="1:6" ht="15" customHeight="1" x14ac:dyDescent="0.3">
      <c r="A70" s="7"/>
      <c r="B70" s="28"/>
      <c r="C70" s="28"/>
      <c r="D70" s="5"/>
      <c r="E70" s="12"/>
      <c r="F70" s="28"/>
    </row>
    <row r="71" spans="1:6" ht="15" customHeight="1" x14ac:dyDescent="0.3">
      <c r="A71" s="7"/>
      <c r="B71" s="28"/>
      <c r="C71" s="28"/>
      <c r="D71" s="5"/>
      <c r="E71" s="12"/>
      <c r="F71" s="28"/>
    </row>
    <row r="72" spans="1:6" ht="15" customHeight="1" x14ac:dyDescent="0.3">
      <c r="A72" s="7"/>
      <c r="B72" s="28"/>
      <c r="C72" s="28"/>
      <c r="D72" s="5"/>
      <c r="E72" s="12"/>
      <c r="F72" s="28"/>
    </row>
    <row r="73" spans="1:6" ht="15" customHeight="1" x14ac:dyDescent="0.3">
      <c r="A73" s="7"/>
      <c r="B73" s="28"/>
      <c r="C73" s="28"/>
      <c r="D73" s="5"/>
      <c r="E73" s="12"/>
      <c r="F73" s="28"/>
    </row>
    <row r="74" spans="1:6" ht="15" customHeight="1" x14ac:dyDescent="0.3">
      <c r="A74" s="7"/>
      <c r="B74" s="28"/>
      <c r="C74" s="28"/>
      <c r="D74" s="5"/>
      <c r="E74" s="12"/>
      <c r="F74" s="28"/>
    </row>
    <row r="75" spans="1:6" ht="15" customHeight="1" x14ac:dyDescent="0.3">
      <c r="A75" s="7"/>
      <c r="B75" s="28"/>
      <c r="C75" s="28"/>
      <c r="D75" s="5"/>
      <c r="E75" s="12"/>
      <c r="F75" s="28"/>
    </row>
    <row r="76" spans="1:6" ht="15" customHeight="1" x14ac:dyDescent="0.3">
      <c r="A76" s="7"/>
      <c r="B76" s="28"/>
      <c r="C76" s="28"/>
      <c r="D76" s="5"/>
      <c r="E76" s="12"/>
      <c r="F76" s="28"/>
    </row>
    <row r="77" spans="1:6" ht="15" customHeight="1" x14ac:dyDescent="0.3">
      <c r="A77" s="7"/>
      <c r="B77" s="28"/>
      <c r="C77" s="28"/>
      <c r="D77" s="5"/>
      <c r="E77" s="12"/>
      <c r="F77" s="28"/>
    </row>
    <row r="78" spans="1:6" ht="15" customHeight="1" x14ac:dyDescent="0.3">
      <c r="A78" s="7"/>
      <c r="B78" s="28"/>
      <c r="C78" s="28"/>
      <c r="D78" s="5"/>
      <c r="E78" s="12"/>
      <c r="F78" s="28"/>
    </row>
    <row r="79" spans="1:6" ht="15" customHeight="1" x14ac:dyDescent="0.3">
      <c r="A79" s="7"/>
      <c r="B79" s="28"/>
      <c r="C79" s="28"/>
      <c r="D79" s="5"/>
      <c r="E79" s="12"/>
      <c r="F79" s="28"/>
    </row>
    <row r="80" spans="1:6" ht="15" customHeight="1" x14ac:dyDescent="0.3">
      <c r="A80" s="7"/>
      <c r="B80" s="28"/>
      <c r="C80" s="28"/>
      <c r="D80" s="5"/>
      <c r="E80" s="12"/>
      <c r="F80" s="28"/>
    </row>
    <row r="81" spans="1:6" ht="15" customHeight="1" x14ac:dyDescent="0.3">
      <c r="A81" s="7"/>
      <c r="B81" s="28"/>
      <c r="C81" s="28"/>
      <c r="D81" s="5"/>
      <c r="E81" s="12"/>
      <c r="F81" s="28"/>
    </row>
    <row r="82" spans="1:6" ht="15" customHeight="1" x14ac:dyDescent="0.3">
      <c r="A82" s="7"/>
      <c r="B82" s="28"/>
      <c r="C82" s="28"/>
      <c r="D82" s="5"/>
      <c r="E82" s="12"/>
      <c r="F82" s="28"/>
    </row>
    <row r="83" spans="1:6" ht="15" customHeight="1" x14ac:dyDescent="0.3">
      <c r="A83" s="7"/>
      <c r="B83" s="28"/>
      <c r="C83" s="28"/>
      <c r="D83" s="5"/>
      <c r="E83" s="12"/>
      <c r="F83" s="28"/>
    </row>
    <row r="84" spans="1:6" ht="15" customHeight="1" x14ac:dyDescent="0.3">
      <c r="A84" s="7"/>
      <c r="B84" s="28"/>
      <c r="C84" s="28"/>
      <c r="D84" s="5"/>
      <c r="E84" s="12"/>
      <c r="F84" s="28"/>
    </row>
    <row r="85" spans="1:6" ht="15" customHeight="1" x14ac:dyDescent="0.3">
      <c r="A85" s="7"/>
      <c r="B85" s="28"/>
      <c r="C85" s="28"/>
      <c r="D85" s="5"/>
      <c r="E85" s="12"/>
      <c r="F85" s="28"/>
    </row>
    <row r="86" spans="1:6" ht="15" customHeight="1" x14ac:dyDescent="0.3">
      <c r="A86" s="7"/>
      <c r="B86" s="28"/>
      <c r="C86" s="28"/>
      <c r="D86" s="5"/>
      <c r="E86" s="12"/>
      <c r="F86" s="28"/>
    </row>
    <row r="87" spans="1:6" ht="15" customHeight="1" x14ac:dyDescent="0.3">
      <c r="A87" s="7"/>
      <c r="B87" s="28"/>
      <c r="C87" s="28"/>
      <c r="D87" s="5"/>
      <c r="E87" s="12"/>
      <c r="F87" s="28"/>
    </row>
    <row r="88" spans="1:6" ht="15" customHeight="1" x14ac:dyDescent="0.3">
      <c r="A88" s="7"/>
      <c r="B88" s="28"/>
      <c r="C88" s="28"/>
      <c r="D88" s="5"/>
      <c r="E88" s="12"/>
      <c r="F88" s="28"/>
    </row>
    <row r="89" spans="1:6" ht="15" customHeight="1" x14ac:dyDescent="0.3">
      <c r="A89" s="7"/>
      <c r="B89" s="28"/>
      <c r="C89" s="28"/>
      <c r="D89" s="5"/>
      <c r="E89" s="12"/>
      <c r="F89" s="28"/>
    </row>
    <row r="90" spans="1:6" ht="15" customHeight="1" x14ac:dyDescent="0.3">
      <c r="A90" s="7"/>
      <c r="B90" s="28"/>
      <c r="C90" s="28"/>
      <c r="D90" s="5"/>
      <c r="E90" s="12"/>
      <c r="F90" s="28"/>
    </row>
    <row r="91" spans="1:6" ht="15" customHeight="1" x14ac:dyDescent="0.3">
      <c r="A91" s="7"/>
      <c r="B91" s="28"/>
      <c r="C91" s="28"/>
      <c r="D91" s="5"/>
      <c r="E91" s="12"/>
      <c r="F91" s="28"/>
    </row>
    <row r="92" spans="1:6" ht="15" customHeight="1" x14ac:dyDescent="0.3">
      <c r="A92" s="7"/>
      <c r="B92" s="28"/>
      <c r="C92" s="28"/>
      <c r="D92" s="5"/>
      <c r="E92" s="12"/>
      <c r="F92" s="28"/>
    </row>
    <row r="93" spans="1:6" ht="15" customHeight="1" x14ac:dyDescent="0.3">
      <c r="A93" s="7"/>
      <c r="B93" s="28"/>
      <c r="C93" s="28"/>
      <c r="D93" s="5"/>
      <c r="E93" s="12"/>
      <c r="F93" s="28"/>
    </row>
    <row r="94" spans="1:6" ht="15" customHeight="1" x14ac:dyDescent="0.3">
      <c r="A94" s="7"/>
      <c r="B94" s="28"/>
      <c r="C94" s="28"/>
      <c r="D94" s="5"/>
      <c r="E94" s="12"/>
      <c r="F94" s="28"/>
    </row>
    <row r="95" spans="1:6" ht="15" customHeight="1" x14ac:dyDescent="0.3">
      <c r="A95" s="7"/>
      <c r="B95" s="28"/>
      <c r="C95" s="28"/>
      <c r="D95" s="5"/>
      <c r="E95" s="12"/>
      <c r="F95" s="28"/>
    </row>
    <row r="96" spans="1:6" ht="15" customHeight="1" x14ac:dyDescent="0.3">
      <c r="A96" s="7"/>
      <c r="B96" s="28"/>
      <c r="C96" s="28"/>
      <c r="D96" s="5"/>
      <c r="E96" s="12"/>
      <c r="F96" s="28"/>
    </row>
    <row r="97" spans="1:6" ht="15" customHeight="1" x14ac:dyDescent="0.3">
      <c r="A97" s="7"/>
      <c r="B97" s="28"/>
      <c r="C97" s="28"/>
      <c r="D97" s="5"/>
      <c r="E97" s="12"/>
      <c r="F97" s="28"/>
    </row>
    <row r="98" spans="1:6" ht="15" customHeight="1" x14ac:dyDescent="0.3">
      <c r="A98" s="7"/>
      <c r="B98" s="28"/>
      <c r="C98" s="28"/>
      <c r="D98" s="5"/>
      <c r="E98" s="12"/>
      <c r="F98" s="28"/>
    </row>
    <row r="99" spans="1:6" ht="15" customHeight="1" x14ac:dyDescent="0.3">
      <c r="A99" s="7"/>
      <c r="B99" s="28"/>
      <c r="C99" s="28"/>
      <c r="D99" s="5"/>
      <c r="E99" s="12"/>
      <c r="F99" s="28"/>
    </row>
    <row r="100" spans="1:6" ht="15" customHeight="1" x14ac:dyDescent="0.3">
      <c r="A100" s="7"/>
      <c r="B100" s="28"/>
      <c r="C100" s="28"/>
      <c r="D100" s="5"/>
      <c r="E100" s="12"/>
      <c r="F100" s="28"/>
    </row>
    <row r="101" spans="1:6" ht="15" customHeight="1" x14ac:dyDescent="0.3">
      <c r="A101" s="7"/>
      <c r="B101" s="28"/>
      <c r="C101" s="28"/>
      <c r="D101" s="5"/>
      <c r="E101" s="12"/>
      <c r="F101" s="28"/>
    </row>
    <row r="102" spans="1:6" ht="15" customHeight="1" x14ac:dyDescent="0.3">
      <c r="A102" s="7"/>
      <c r="B102" s="28"/>
      <c r="C102" s="28"/>
      <c r="D102" s="5"/>
      <c r="E102" s="12"/>
      <c r="F102" s="28"/>
    </row>
    <row r="103" spans="1:6" ht="15" customHeight="1" x14ac:dyDescent="0.3">
      <c r="A103" s="7"/>
      <c r="B103" s="28"/>
      <c r="C103" s="28"/>
      <c r="D103" s="5"/>
      <c r="E103" s="12"/>
      <c r="F103" s="28"/>
    </row>
    <row r="104" spans="1:6" ht="15" customHeight="1" x14ac:dyDescent="0.3">
      <c r="A104" s="7"/>
      <c r="B104" s="28"/>
      <c r="C104" s="28"/>
      <c r="D104" s="5"/>
      <c r="E104" s="12"/>
      <c r="F104" s="28"/>
    </row>
    <row r="105" spans="1:6" ht="15" customHeight="1" x14ac:dyDescent="0.3">
      <c r="A105" s="7"/>
      <c r="B105" s="28"/>
      <c r="C105" s="28"/>
      <c r="D105" s="5"/>
      <c r="E105" s="12"/>
      <c r="F105" s="28"/>
    </row>
    <row r="106" spans="1:6" ht="15" customHeight="1" x14ac:dyDescent="0.3">
      <c r="A106" s="7"/>
      <c r="B106" s="28"/>
      <c r="C106" s="28"/>
      <c r="D106" s="5"/>
      <c r="E106" s="12"/>
      <c r="F106" s="28"/>
    </row>
    <row r="107" spans="1:6" ht="15" customHeight="1" x14ac:dyDescent="0.3">
      <c r="A107" s="7"/>
      <c r="B107" s="28"/>
      <c r="C107" s="28"/>
      <c r="D107" s="5"/>
      <c r="E107" s="12"/>
      <c r="F107" s="28"/>
    </row>
    <row r="108" spans="1:6" ht="15" customHeight="1" x14ac:dyDescent="0.3">
      <c r="A108" s="7"/>
      <c r="B108" s="28"/>
      <c r="C108" s="28"/>
      <c r="D108" s="5"/>
      <c r="E108" s="12"/>
      <c r="F108" s="28"/>
    </row>
    <row r="109" spans="1:6" ht="15" customHeight="1" x14ac:dyDescent="0.3">
      <c r="A109" s="7"/>
      <c r="B109" s="28"/>
      <c r="C109" s="28"/>
      <c r="D109" s="5"/>
      <c r="E109" s="12"/>
      <c r="F109" s="28"/>
    </row>
    <row r="110" spans="1:6" ht="15" customHeight="1" x14ac:dyDescent="0.3">
      <c r="A110" s="7"/>
      <c r="B110" s="28"/>
      <c r="C110" s="28"/>
      <c r="D110" s="5"/>
      <c r="E110" s="12"/>
      <c r="F110" s="28"/>
    </row>
    <row r="111" spans="1:6" ht="15" customHeight="1" x14ac:dyDescent="0.3">
      <c r="A111" s="7"/>
      <c r="B111" s="28"/>
      <c r="C111" s="28"/>
      <c r="D111" s="5"/>
      <c r="E111" s="12"/>
      <c r="F111" s="28"/>
    </row>
    <row r="112" spans="1:6" ht="15" customHeight="1" x14ac:dyDescent="0.3">
      <c r="A112" s="7"/>
      <c r="B112" s="28"/>
      <c r="C112" s="28"/>
      <c r="D112" s="5"/>
      <c r="E112" s="12"/>
      <c r="F112" s="28"/>
    </row>
    <row r="113" spans="1:6" ht="15" customHeight="1" x14ac:dyDescent="0.3">
      <c r="A113" s="7"/>
      <c r="B113" s="28"/>
      <c r="C113" s="28"/>
      <c r="D113" s="5"/>
      <c r="E113" s="12"/>
      <c r="F113" s="28"/>
    </row>
    <row r="114" spans="1:6" ht="15" customHeight="1" x14ac:dyDescent="0.3">
      <c r="A114" s="7"/>
      <c r="B114" s="28"/>
      <c r="C114" s="28"/>
      <c r="D114" s="5"/>
      <c r="E114" s="12"/>
      <c r="F114" s="28"/>
    </row>
    <row r="115" spans="1:6" ht="15" customHeight="1" x14ac:dyDescent="0.3">
      <c r="A115" s="7"/>
      <c r="B115" s="28"/>
      <c r="C115" s="28"/>
      <c r="D115" s="5"/>
      <c r="E115" s="12"/>
      <c r="F115" s="28"/>
    </row>
    <row r="116" spans="1:6" ht="15" customHeight="1" x14ac:dyDescent="0.3">
      <c r="A116" s="7"/>
      <c r="B116" s="28"/>
      <c r="C116" s="28"/>
      <c r="D116" s="5"/>
      <c r="E116" s="12"/>
      <c r="F116" s="28"/>
    </row>
    <row r="117" spans="1:6" ht="15" customHeight="1" x14ac:dyDescent="0.3">
      <c r="A117" s="7"/>
      <c r="B117" s="28"/>
      <c r="C117" s="28"/>
      <c r="D117" s="5"/>
      <c r="E117" s="12"/>
      <c r="F117" s="28"/>
    </row>
    <row r="118" spans="1:6" ht="15" customHeight="1" x14ac:dyDescent="0.3">
      <c r="A118" s="7"/>
      <c r="B118" s="28"/>
      <c r="C118" s="28"/>
      <c r="D118" s="5"/>
      <c r="E118" s="12"/>
      <c r="F118" s="28"/>
    </row>
    <row r="119" spans="1:6" ht="15" customHeight="1" x14ac:dyDescent="0.3">
      <c r="A119" s="7"/>
      <c r="B119" s="28"/>
      <c r="C119" s="28"/>
      <c r="D119" s="5"/>
      <c r="E119" s="12"/>
      <c r="F119" s="28"/>
    </row>
    <row r="120" spans="1:6" ht="15" customHeight="1" x14ac:dyDescent="0.3">
      <c r="A120" s="7"/>
      <c r="B120" s="28"/>
      <c r="C120" s="28"/>
      <c r="D120" s="5"/>
      <c r="E120" s="12"/>
      <c r="F120" s="28"/>
    </row>
    <row r="121" spans="1:6" ht="15" customHeight="1" x14ac:dyDescent="0.3">
      <c r="A121" s="7"/>
      <c r="B121" s="28"/>
      <c r="C121" s="28"/>
      <c r="D121" s="5"/>
      <c r="E121" s="12"/>
      <c r="F121" s="28"/>
    </row>
    <row r="122" spans="1:6" ht="15" customHeight="1" x14ac:dyDescent="0.3">
      <c r="A122" s="7"/>
      <c r="B122" s="28"/>
      <c r="C122" s="28"/>
      <c r="D122" s="5"/>
      <c r="E122" s="12"/>
      <c r="F122" s="28"/>
    </row>
    <row r="123" spans="1:6" ht="15" customHeight="1" x14ac:dyDescent="0.3">
      <c r="A123" s="7"/>
      <c r="B123" s="28"/>
      <c r="C123" s="28"/>
      <c r="D123" s="5"/>
      <c r="E123" s="12"/>
      <c r="F123" s="28"/>
    </row>
    <row r="124" spans="1:6" ht="15" customHeight="1" x14ac:dyDescent="0.3">
      <c r="A124" s="7"/>
      <c r="B124" s="28"/>
      <c r="C124" s="28"/>
      <c r="D124" s="5"/>
      <c r="E124" s="12"/>
      <c r="F124" s="28"/>
    </row>
    <row r="125" spans="1:6" ht="15" customHeight="1" x14ac:dyDescent="0.3">
      <c r="A125" s="7"/>
      <c r="B125" s="28"/>
      <c r="C125" s="28"/>
      <c r="D125" s="5"/>
      <c r="E125" s="12"/>
      <c r="F125" s="28"/>
    </row>
    <row r="126" spans="1:6" ht="15" customHeight="1" x14ac:dyDescent="0.3">
      <c r="A126" s="7"/>
      <c r="B126" s="28"/>
      <c r="C126" s="28"/>
      <c r="D126" s="5"/>
      <c r="E126" s="12"/>
      <c r="F126" s="28"/>
    </row>
    <row r="127" spans="1:6" ht="15" customHeight="1" x14ac:dyDescent="0.3">
      <c r="A127" s="7"/>
      <c r="B127" s="28"/>
      <c r="C127" s="28"/>
      <c r="D127" s="5"/>
      <c r="E127" s="12"/>
      <c r="F127" s="28"/>
    </row>
    <row r="128" spans="1:6" ht="15" customHeight="1" x14ac:dyDescent="0.3">
      <c r="A128" s="7"/>
      <c r="B128" s="28"/>
      <c r="C128" s="28"/>
      <c r="D128" s="5"/>
      <c r="E128" s="12"/>
      <c r="F128" s="28"/>
    </row>
    <row r="129" spans="1:6" ht="15" customHeight="1" x14ac:dyDescent="0.3">
      <c r="A129" s="7"/>
      <c r="B129" s="28"/>
      <c r="C129" s="28"/>
      <c r="D129" s="5"/>
      <c r="E129" s="12"/>
      <c r="F129" s="28"/>
    </row>
    <row r="130" spans="1:6" ht="15" customHeight="1" x14ac:dyDescent="0.3">
      <c r="A130" s="7"/>
      <c r="B130" s="28"/>
      <c r="C130" s="28"/>
      <c r="D130" s="5"/>
      <c r="E130" s="12"/>
      <c r="F130" s="28"/>
    </row>
    <row r="131" spans="1:6" ht="15" customHeight="1" x14ac:dyDescent="0.3">
      <c r="A131" s="7"/>
      <c r="B131" s="28"/>
      <c r="C131" s="28"/>
      <c r="D131" s="5"/>
      <c r="E131" s="12"/>
      <c r="F131" s="28"/>
    </row>
    <row r="132" spans="1:6" ht="15" customHeight="1" x14ac:dyDescent="0.3">
      <c r="A132" s="7"/>
      <c r="B132" s="28"/>
      <c r="C132" s="28"/>
      <c r="D132" s="5"/>
      <c r="E132" s="12"/>
      <c r="F132" s="28"/>
    </row>
    <row r="133" spans="1:6" ht="15" customHeight="1" x14ac:dyDescent="0.3">
      <c r="A133" s="7"/>
      <c r="B133" s="28"/>
      <c r="C133" s="28"/>
      <c r="D133" s="5"/>
      <c r="E133" s="12"/>
      <c r="F133" s="28"/>
    </row>
    <row r="134" spans="1:6" ht="15" customHeight="1" x14ac:dyDescent="0.3">
      <c r="A134" s="7"/>
      <c r="B134" s="28"/>
      <c r="C134" s="28"/>
      <c r="D134" s="5"/>
      <c r="E134" s="12"/>
      <c r="F134" s="28"/>
    </row>
    <row r="135" spans="1:6" ht="15" customHeight="1" x14ac:dyDescent="0.3">
      <c r="A135" s="7"/>
      <c r="B135" s="28"/>
      <c r="C135" s="28"/>
      <c r="D135" s="5"/>
      <c r="E135" s="12"/>
      <c r="F135" s="28"/>
    </row>
    <row r="136" spans="1:6" ht="15" customHeight="1" x14ac:dyDescent="0.3">
      <c r="A136" s="7"/>
      <c r="B136" s="28"/>
      <c r="C136" s="28"/>
      <c r="D136" s="5"/>
      <c r="E136" s="12"/>
      <c r="F136" s="28"/>
    </row>
    <row r="137" spans="1:6" ht="15" customHeight="1" x14ac:dyDescent="0.3">
      <c r="A137" s="7"/>
      <c r="B137" s="28"/>
      <c r="C137" s="28"/>
      <c r="D137" s="5"/>
      <c r="E137" s="12"/>
      <c r="F137" s="28"/>
    </row>
    <row r="138" spans="1:6" ht="15" customHeight="1" x14ac:dyDescent="0.3">
      <c r="A138" s="7"/>
      <c r="B138" s="28"/>
      <c r="C138" s="28"/>
      <c r="D138" s="5"/>
      <c r="E138" s="12"/>
      <c r="F138" s="28"/>
    </row>
    <row r="139" spans="1:6" ht="15" customHeight="1" x14ac:dyDescent="0.3">
      <c r="A139" s="7"/>
      <c r="B139" s="28"/>
      <c r="C139" s="28"/>
      <c r="D139" s="5"/>
      <c r="E139" s="12"/>
      <c r="F139" s="28"/>
    </row>
    <row r="140" spans="1:6" ht="15" customHeight="1" x14ac:dyDescent="0.3">
      <c r="A140" s="7"/>
      <c r="B140" s="28"/>
      <c r="C140" s="28"/>
      <c r="D140" s="5"/>
      <c r="E140" s="12"/>
      <c r="F140" s="28"/>
    </row>
    <row r="141" spans="1:6" ht="15" customHeight="1" x14ac:dyDescent="0.3">
      <c r="A141" s="7"/>
      <c r="B141" s="28"/>
      <c r="C141" s="28"/>
      <c r="D141" s="5"/>
      <c r="E141" s="12"/>
      <c r="F141" s="28"/>
    </row>
    <row r="142" spans="1:6" ht="15" customHeight="1" x14ac:dyDescent="0.3">
      <c r="A142" s="7"/>
      <c r="B142" s="28"/>
      <c r="C142" s="28"/>
      <c r="D142" s="5"/>
      <c r="E142" s="12"/>
      <c r="F142" s="28"/>
    </row>
    <row r="143" spans="1:6" ht="15" customHeight="1" x14ac:dyDescent="0.3">
      <c r="A143" s="7"/>
      <c r="B143" s="28"/>
      <c r="C143" s="28"/>
      <c r="D143" s="5"/>
      <c r="E143" s="12"/>
      <c r="F143" s="28"/>
    </row>
    <row r="144" spans="1:6" ht="15" customHeight="1" x14ac:dyDescent="0.3">
      <c r="A144" s="7"/>
      <c r="B144" s="28"/>
      <c r="C144" s="28"/>
      <c r="D144" s="5"/>
      <c r="E144" s="12"/>
      <c r="F144" s="28"/>
    </row>
    <row r="145" spans="1:6" ht="15" customHeight="1" x14ac:dyDescent="0.3">
      <c r="A145" s="7"/>
      <c r="B145" s="28"/>
      <c r="C145" s="28"/>
      <c r="D145" s="5"/>
      <c r="E145" s="12"/>
      <c r="F145" s="28"/>
    </row>
    <row r="146" spans="1:6" ht="15" customHeight="1" x14ac:dyDescent="0.3">
      <c r="A146" s="7"/>
      <c r="B146" s="28"/>
      <c r="C146" s="28"/>
      <c r="D146" s="5"/>
      <c r="E146" s="12"/>
      <c r="F146" s="28"/>
    </row>
    <row r="147" spans="1:6" ht="15" customHeight="1" x14ac:dyDescent="0.3">
      <c r="A147" s="7"/>
      <c r="B147" s="28"/>
      <c r="C147" s="28"/>
      <c r="D147" s="5"/>
      <c r="E147" s="12"/>
      <c r="F147" s="28"/>
    </row>
    <row r="148" spans="1:6" ht="15" customHeight="1" x14ac:dyDescent="0.3">
      <c r="A148" s="7"/>
      <c r="B148" s="28"/>
      <c r="C148" s="28"/>
      <c r="D148" s="5"/>
      <c r="E148" s="12"/>
      <c r="F148" s="28"/>
    </row>
    <row r="149" spans="1:6" ht="15" customHeight="1" x14ac:dyDescent="0.3">
      <c r="A149" s="7"/>
      <c r="B149" s="28"/>
      <c r="C149" s="28"/>
      <c r="D149" s="5"/>
      <c r="E149" s="12"/>
      <c r="F149" s="28"/>
    </row>
    <row r="150" spans="1:6" ht="15" customHeight="1" x14ac:dyDescent="0.3">
      <c r="A150" s="7"/>
      <c r="B150" s="28"/>
      <c r="C150" s="28"/>
      <c r="D150" s="5"/>
      <c r="E150" s="12"/>
      <c r="F150" s="28"/>
    </row>
    <row r="151" spans="1:6" ht="15" customHeight="1" x14ac:dyDescent="0.3">
      <c r="A151" s="7"/>
      <c r="B151" s="28"/>
      <c r="C151" s="28"/>
      <c r="D151" s="5"/>
      <c r="E151" s="12"/>
      <c r="F151" s="28"/>
    </row>
    <row r="152" spans="1:6" ht="15" customHeight="1" x14ac:dyDescent="0.3">
      <c r="A152" s="7"/>
      <c r="B152" s="28"/>
      <c r="C152" s="28"/>
      <c r="D152" s="5"/>
      <c r="E152" s="12"/>
      <c r="F152" s="28"/>
    </row>
    <row r="153" spans="1:6" ht="15" customHeight="1" x14ac:dyDescent="0.3">
      <c r="A153" s="7"/>
      <c r="B153" s="28"/>
      <c r="C153" s="28"/>
      <c r="D153" s="5"/>
      <c r="E153" s="12"/>
      <c r="F153" s="28"/>
    </row>
    <row r="154" spans="1:6" ht="15" customHeight="1" x14ac:dyDescent="0.3">
      <c r="A154" s="7"/>
      <c r="B154" s="28"/>
      <c r="C154" s="28"/>
      <c r="D154" s="5"/>
      <c r="E154" s="12"/>
      <c r="F154" s="28"/>
    </row>
    <row r="155" spans="1:6" ht="15" customHeight="1" x14ac:dyDescent="0.3">
      <c r="A155" s="7"/>
      <c r="B155" s="28"/>
      <c r="C155" s="28"/>
      <c r="D155" s="5"/>
      <c r="E155" s="12"/>
      <c r="F155" s="28"/>
    </row>
    <row r="156" spans="1:6" ht="15" customHeight="1" x14ac:dyDescent="0.3">
      <c r="A156" s="7"/>
      <c r="B156" s="28"/>
      <c r="C156" s="28"/>
      <c r="D156" s="5"/>
      <c r="E156" s="12"/>
      <c r="F156" s="28"/>
    </row>
    <row r="157" spans="1:6" ht="15" customHeight="1" x14ac:dyDescent="0.3">
      <c r="A157" s="7"/>
      <c r="B157" s="28"/>
      <c r="C157" s="28"/>
      <c r="D157" s="5"/>
      <c r="E157" s="12"/>
      <c r="F157" s="28"/>
    </row>
    <row r="158" spans="1:6" ht="15" customHeight="1" x14ac:dyDescent="0.3">
      <c r="A158" s="7"/>
      <c r="B158" s="28"/>
      <c r="C158" s="28"/>
      <c r="D158" s="5"/>
      <c r="E158" s="12"/>
      <c r="F158" s="28"/>
    </row>
    <row r="159" spans="1:6" ht="15" customHeight="1" x14ac:dyDescent="0.3">
      <c r="A159" s="7"/>
      <c r="B159" s="28"/>
      <c r="C159" s="28"/>
      <c r="D159" s="5"/>
      <c r="E159" s="12"/>
      <c r="F159" s="28"/>
    </row>
    <row r="160" spans="1:6" ht="15" customHeight="1" x14ac:dyDescent="0.3">
      <c r="A160" s="7"/>
      <c r="B160" s="28"/>
      <c r="C160" s="28"/>
      <c r="D160" s="5"/>
      <c r="E160" s="12"/>
      <c r="F160" s="28"/>
    </row>
    <row r="161" spans="1:6" ht="15" customHeight="1" x14ac:dyDescent="0.3">
      <c r="A161" s="7"/>
      <c r="B161" s="28"/>
      <c r="C161" s="28"/>
      <c r="D161" s="5"/>
      <c r="E161" s="12"/>
      <c r="F161" s="28"/>
    </row>
    <row r="162" spans="1:6" ht="15" customHeight="1" x14ac:dyDescent="0.3">
      <c r="A162" s="7"/>
      <c r="B162" s="28"/>
      <c r="C162" s="28"/>
      <c r="D162" s="5"/>
      <c r="E162" s="12"/>
      <c r="F162" s="28"/>
    </row>
    <row r="163" spans="1:6" ht="15" customHeight="1" x14ac:dyDescent="0.3">
      <c r="A163" s="7"/>
      <c r="B163" s="28"/>
      <c r="C163" s="28"/>
      <c r="D163" s="5"/>
      <c r="E163" s="12"/>
      <c r="F163" s="28"/>
    </row>
    <row r="164" spans="1:6" ht="15" customHeight="1" x14ac:dyDescent="0.3">
      <c r="A164" s="7"/>
      <c r="B164" s="28"/>
      <c r="C164" s="28"/>
      <c r="D164" s="5"/>
      <c r="E164" s="12"/>
      <c r="F164" s="28"/>
    </row>
    <row r="165" spans="1:6" ht="15" customHeight="1" x14ac:dyDescent="0.3">
      <c r="A165" s="7"/>
      <c r="B165" s="28"/>
      <c r="C165" s="28"/>
      <c r="D165" s="5"/>
      <c r="E165" s="12"/>
      <c r="F165" s="28"/>
    </row>
    <row r="166" spans="1:6" ht="15" customHeight="1" x14ac:dyDescent="0.3">
      <c r="A166" s="7"/>
      <c r="B166" s="28"/>
      <c r="C166" s="28"/>
      <c r="D166" s="5"/>
      <c r="E166" s="12"/>
      <c r="F166" s="28"/>
    </row>
    <row r="167" spans="1:6" ht="15" customHeight="1" x14ac:dyDescent="0.3">
      <c r="A167" s="7"/>
      <c r="B167" s="28"/>
      <c r="C167" s="28"/>
      <c r="D167" s="5"/>
      <c r="E167" s="12"/>
      <c r="F167" s="28"/>
    </row>
    <row r="168" spans="1:6" ht="15" customHeight="1" x14ac:dyDescent="0.3">
      <c r="A168" s="7"/>
      <c r="B168" s="28"/>
      <c r="C168" s="28"/>
      <c r="D168" s="5"/>
      <c r="E168" s="12"/>
      <c r="F168" s="28"/>
    </row>
    <row r="169" spans="1:6" ht="15" customHeight="1" x14ac:dyDescent="0.3">
      <c r="A169" s="7"/>
      <c r="B169" s="28"/>
      <c r="C169" s="28"/>
      <c r="D169" s="5"/>
      <c r="E169" s="12"/>
      <c r="F169" s="28"/>
    </row>
    <row r="170" spans="1:6" ht="15" customHeight="1" x14ac:dyDescent="0.3">
      <c r="A170" s="7"/>
      <c r="B170" s="28"/>
      <c r="C170" s="28"/>
      <c r="D170" s="5"/>
      <c r="E170" s="12"/>
      <c r="F170" s="28"/>
    </row>
    <row r="171" spans="1:6" ht="15" customHeight="1" x14ac:dyDescent="0.3">
      <c r="A171" s="7"/>
      <c r="B171" s="28"/>
      <c r="C171" s="28"/>
      <c r="D171" s="5"/>
      <c r="E171" s="12"/>
      <c r="F171" s="28"/>
    </row>
    <row r="172" spans="1:6" ht="15" customHeight="1" x14ac:dyDescent="0.3">
      <c r="A172" s="7"/>
      <c r="B172" s="28"/>
      <c r="C172" s="28"/>
      <c r="D172" s="5"/>
      <c r="E172" s="12"/>
      <c r="F172" s="28"/>
    </row>
    <row r="173" spans="1:6" ht="15" customHeight="1" x14ac:dyDescent="0.3">
      <c r="A173" s="7"/>
      <c r="B173" s="28"/>
      <c r="C173" s="28"/>
      <c r="D173" s="5"/>
      <c r="E173" s="12"/>
      <c r="F173" s="28"/>
    </row>
    <row r="174" spans="1:6" ht="15" customHeight="1" x14ac:dyDescent="0.3">
      <c r="A174" s="7"/>
      <c r="B174" s="28"/>
      <c r="C174" s="28"/>
      <c r="D174" s="5"/>
      <c r="E174" s="12"/>
      <c r="F174" s="28"/>
    </row>
    <row r="175" spans="1:6" ht="15" customHeight="1" x14ac:dyDescent="0.3">
      <c r="A175" s="7"/>
      <c r="B175" s="28"/>
      <c r="C175" s="28"/>
      <c r="D175" s="5"/>
      <c r="E175" s="12"/>
      <c r="F175" s="28"/>
    </row>
    <row r="176" spans="1:6" ht="15" customHeight="1" x14ac:dyDescent="0.3">
      <c r="A176" s="7"/>
      <c r="B176" s="28"/>
      <c r="C176" s="28"/>
      <c r="D176" s="5"/>
      <c r="E176" s="12"/>
      <c r="F176" s="28"/>
    </row>
    <row r="177" spans="1:6" ht="15" customHeight="1" x14ac:dyDescent="0.3">
      <c r="A177" s="7"/>
      <c r="B177" s="28"/>
      <c r="C177" s="28"/>
      <c r="D177" s="5"/>
      <c r="E177" s="12"/>
      <c r="F177" s="28"/>
    </row>
    <row r="178" spans="1:6" ht="15" customHeight="1" x14ac:dyDescent="0.3">
      <c r="A178" s="7"/>
      <c r="B178" s="28"/>
      <c r="C178" s="28"/>
      <c r="D178" s="5"/>
      <c r="E178" s="12"/>
      <c r="F178" s="28"/>
    </row>
    <row r="179" spans="1:6" ht="15" customHeight="1" x14ac:dyDescent="0.3">
      <c r="A179" s="7"/>
      <c r="B179" s="28"/>
      <c r="C179" s="28"/>
      <c r="D179" s="5"/>
      <c r="E179" s="12"/>
      <c r="F179" s="28"/>
    </row>
    <row r="180" spans="1:6" ht="15" customHeight="1" x14ac:dyDescent="0.3">
      <c r="A180" s="7"/>
      <c r="B180" s="28"/>
      <c r="C180" s="28"/>
      <c r="D180" s="5"/>
      <c r="E180" s="12"/>
      <c r="F180" s="28"/>
    </row>
    <row r="181" spans="1:6" ht="15" customHeight="1" x14ac:dyDescent="0.3">
      <c r="A181" s="7"/>
      <c r="B181" s="28"/>
      <c r="C181" s="28"/>
      <c r="D181" s="5"/>
      <c r="E181" s="12"/>
      <c r="F181" s="28"/>
    </row>
    <row r="182" spans="1:6" ht="15" customHeight="1" x14ac:dyDescent="0.3">
      <c r="A182" s="7"/>
      <c r="B182" s="28"/>
      <c r="C182" s="28"/>
      <c r="D182" s="5"/>
      <c r="E182" s="12"/>
      <c r="F182" s="28"/>
    </row>
    <row r="183" spans="1:6" ht="15" customHeight="1" x14ac:dyDescent="0.3">
      <c r="A183" s="7"/>
      <c r="B183" s="28"/>
      <c r="C183" s="28"/>
      <c r="D183" s="5"/>
      <c r="E183" s="12"/>
      <c r="F183" s="28"/>
    </row>
    <row r="184" spans="1:6" ht="15" customHeight="1" x14ac:dyDescent="0.3">
      <c r="A184" s="7"/>
      <c r="B184" s="28"/>
      <c r="C184" s="28"/>
      <c r="D184" s="5"/>
      <c r="E184" s="12"/>
      <c r="F184" s="28"/>
    </row>
    <row r="185" spans="1:6" ht="15" customHeight="1" x14ac:dyDescent="0.3">
      <c r="A185" s="7"/>
      <c r="B185" s="28"/>
      <c r="C185" s="28"/>
      <c r="D185" s="5"/>
      <c r="E185" s="12"/>
      <c r="F185" s="28"/>
    </row>
    <row r="186" spans="1:6" ht="15" customHeight="1" x14ac:dyDescent="0.3">
      <c r="A186" s="7"/>
      <c r="B186" s="28"/>
      <c r="C186" s="28"/>
      <c r="D186" s="5"/>
      <c r="E186" s="12"/>
      <c r="F186" s="28"/>
    </row>
    <row r="187" spans="1:6" ht="15" customHeight="1" x14ac:dyDescent="0.3">
      <c r="A187" s="7"/>
      <c r="B187" s="28"/>
      <c r="C187" s="28"/>
      <c r="D187" s="5"/>
      <c r="E187" s="12"/>
      <c r="F187" s="28"/>
    </row>
    <row r="188" spans="1:6" ht="15" customHeight="1" x14ac:dyDescent="0.3">
      <c r="A188" s="7"/>
      <c r="B188" s="28"/>
      <c r="C188" s="28"/>
      <c r="D188" s="5"/>
      <c r="E188" s="12"/>
      <c r="F188" s="28"/>
    </row>
    <row r="189" spans="1:6" ht="15" customHeight="1" x14ac:dyDescent="0.3">
      <c r="A189" s="7"/>
      <c r="B189" s="28"/>
      <c r="C189" s="28"/>
      <c r="D189" s="5"/>
      <c r="E189" s="12"/>
      <c r="F189" s="28"/>
    </row>
    <row r="190" spans="1:6" ht="15" customHeight="1" x14ac:dyDescent="0.3">
      <c r="A190" s="7"/>
      <c r="B190" s="28"/>
      <c r="C190" s="28"/>
      <c r="D190" s="5"/>
      <c r="E190" s="12"/>
      <c r="F190" s="28"/>
    </row>
    <row r="191" spans="1:6" ht="15" customHeight="1" x14ac:dyDescent="0.3">
      <c r="A191" s="7"/>
      <c r="B191" s="28"/>
      <c r="C191" s="28"/>
      <c r="D191" s="5"/>
      <c r="E191" s="12"/>
      <c r="F191" s="28"/>
    </row>
    <row r="192" spans="1:6" ht="15" customHeight="1" x14ac:dyDescent="0.3">
      <c r="A192" s="7"/>
      <c r="B192" s="28"/>
      <c r="C192" s="28"/>
      <c r="D192" s="5"/>
      <c r="E192" s="12"/>
      <c r="F192" s="28"/>
    </row>
    <row r="193" spans="1:6" ht="15" customHeight="1" x14ac:dyDescent="0.3">
      <c r="A193" s="7"/>
      <c r="B193" s="28"/>
      <c r="C193" s="28"/>
      <c r="D193" s="5"/>
      <c r="E193" s="12"/>
      <c r="F193" s="28"/>
    </row>
    <row r="194" spans="1:6" ht="15" customHeight="1" x14ac:dyDescent="0.3">
      <c r="A194" s="7"/>
      <c r="B194" s="28"/>
      <c r="C194" s="28"/>
      <c r="D194" s="5"/>
      <c r="E194" s="12"/>
      <c r="F194" s="28"/>
    </row>
    <row r="195" spans="1:6" ht="15" customHeight="1" x14ac:dyDescent="0.3">
      <c r="A195" s="7"/>
      <c r="B195" s="28"/>
      <c r="C195" s="28"/>
      <c r="D195" s="5"/>
      <c r="E195" s="12"/>
      <c r="F195" s="28"/>
    </row>
    <row r="196" spans="1:6" ht="15" customHeight="1" x14ac:dyDescent="0.3">
      <c r="A196" s="7"/>
      <c r="B196" s="28"/>
      <c r="C196" s="28"/>
      <c r="D196" s="5"/>
      <c r="E196" s="12"/>
      <c r="F196" s="28"/>
    </row>
    <row r="197" spans="1:6" ht="15" customHeight="1" x14ac:dyDescent="0.3">
      <c r="A197" s="7"/>
      <c r="B197" s="28"/>
      <c r="C197" s="28"/>
      <c r="D197" s="5"/>
      <c r="E197" s="12"/>
      <c r="F197" s="28"/>
    </row>
    <row r="198" spans="1:6" ht="15" customHeight="1" x14ac:dyDescent="0.3">
      <c r="A198" s="7"/>
      <c r="B198" s="28"/>
      <c r="C198" s="28"/>
      <c r="D198" s="5"/>
      <c r="E198" s="12"/>
      <c r="F198" s="28"/>
    </row>
    <row r="199" spans="1:6" ht="15" customHeight="1" x14ac:dyDescent="0.3">
      <c r="A199" s="7"/>
      <c r="B199" s="28"/>
      <c r="C199" s="28"/>
      <c r="D199" s="5"/>
      <c r="E199" s="12"/>
      <c r="F199" s="28"/>
    </row>
    <row r="201" spans="1:6" ht="15" customHeight="1" x14ac:dyDescent="0.3">
      <c r="A201" s="8" t="s">
        <v>73</v>
      </c>
      <c r="E201" s="10">
        <f>SUMIFS(E2:E199,A2:A199,"Pendiente")</f>
        <v>0</v>
      </c>
    </row>
    <row r="202" spans="1:6" ht="15" customHeight="1" x14ac:dyDescent="0.3">
      <c r="A202" s="8" t="s">
        <v>74</v>
      </c>
      <c r="E202" s="10">
        <f>SUMIFS(E2:E199,A2:A199,"Comprado")</f>
        <v>671423</v>
      </c>
    </row>
    <row r="204" spans="1:6" ht="15" customHeight="1" x14ac:dyDescent="0.3">
      <c r="A204" s="8" t="s">
        <v>9</v>
      </c>
    </row>
    <row r="205" spans="1:6" ht="15" customHeight="1" x14ac:dyDescent="0.3">
      <c r="A205" s="9" t="s">
        <v>75</v>
      </c>
    </row>
  </sheetData>
  <phoneticPr fontId="13" type="noConversion"/>
  <dataValidations count="1">
    <dataValidation type="list" allowBlank="1" sqref="A2:A199" xr:uid="{00000000-0002-0000-0200-000000000000}">
      <formula1>"Pendiente,Comprado"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4"/>
  <sheetViews>
    <sheetView zoomScaleNormal="100" workbookViewId="0">
      <pane ySplit="1" topLeftCell="A2" activePane="bottomLeft" state="frozen"/>
      <selection pane="bottomLeft" activeCell="C4" sqref="C4"/>
    </sheetView>
  </sheetViews>
  <sheetFormatPr baseColWidth="10" defaultColWidth="8.6640625" defaultRowHeight="14.4" x14ac:dyDescent="0.3"/>
  <cols>
    <col min="1" max="1" width="14" customWidth="1"/>
    <col min="2" max="2" width="26" customWidth="1"/>
    <col min="3" max="3" width="36" customWidth="1"/>
    <col min="4" max="4" width="14" customWidth="1"/>
    <col min="6" max="6" width="13" hidden="1" customWidth="1"/>
  </cols>
  <sheetData>
    <row r="1" spans="1:6" x14ac:dyDescent="0.3">
      <c r="A1" s="2" t="s">
        <v>0</v>
      </c>
      <c r="B1" s="2" t="s">
        <v>58</v>
      </c>
      <c r="C1" s="2" t="s">
        <v>69</v>
      </c>
      <c r="D1" s="2" t="s">
        <v>76</v>
      </c>
      <c r="F1" s="29" t="s">
        <v>6</v>
      </c>
    </row>
    <row r="2" spans="1:6" s="40" customFormat="1" x14ac:dyDescent="0.3">
      <c r="A2" s="38">
        <v>46279</v>
      </c>
      <c r="B2" s="41" t="s">
        <v>87</v>
      </c>
      <c r="C2" s="39" t="s">
        <v>86</v>
      </c>
      <c r="D2" s="37">
        <v>27400</v>
      </c>
      <c r="F2" s="40">
        <f t="shared" ref="F2:F64" si="0">IF(A2&lt;&gt;"",MONTH(A2),"")</f>
        <v>9</v>
      </c>
    </row>
    <row r="3" spans="1:6" x14ac:dyDescent="0.3">
      <c r="A3" s="5"/>
      <c r="B3" s="7"/>
      <c r="C3" s="28"/>
      <c r="D3" s="25"/>
      <c r="F3" t="str">
        <f t="shared" si="0"/>
        <v/>
      </c>
    </row>
    <row r="4" spans="1:6" x14ac:dyDescent="0.3">
      <c r="A4" s="5"/>
      <c r="B4" s="7"/>
      <c r="C4" s="28"/>
      <c r="D4" s="25"/>
      <c r="F4" t="str">
        <f t="shared" si="0"/>
        <v/>
      </c>
    </row>
    <row r="5" spans="1:6" x14ac:dyDescent="0.3">
      <c r="A5" s="5"/>
      <c r="B5" s="7"/>
      <c r="C5" s="28"/>
      <c r="D5" s="25"/>
      <c r="F5" t="str">
        <f t="shared" si="0"/>
        <v/>
      </c>
    </row>
    <row r="6" spans="1:6" x14ac:dyDescent="0.3">
      <c r="A6" s="5"/>
      <c r="B6" s="7"/>
      <c r="C6" s="28"/>
      <c r="D6" s="25"/>
      <c r="F6" t="str">
        <f t="shared" si="0"/>
        <v/>
      </c>
    </row>
    <row r="7" spans="1:6" x14ac:dyDescent="0.3">
      <c r="A7" s="5"/>
      <c r="B7" s="7"/>
      <c r="C7" s="28"/>
      <c r="D7" s="25"/>
      <c r="F7" t="str">
        <f t="shared" si="0"/>
        <v/>
      </c>
    </row>
    <row r="8" spans="1:6" x14ac:dyDescent="0.3">
      <c r="A8" s="5"/>
      <c r="B8" s="7"/>
      <c r="C8" s="28"/>
      <c r="D8" s="25"/>
      <c r="F8" t="str">
        <f t="shared" si="0"/>
        <v/>
      </c>
    </row>
    <row r="9" spans="1:6" x14ac:dyDescent="0.3">
      <c r="A9" s="5"/>
      <c r="B9" s="7"/>
      <c r="C9" s="28"/>
      <c r="D9" s="25"/>
      <c r="F9" t="str">
        <f t="shared" si="0"/>
        <v/>
      </c>
    </row>
    <row r="10" spans="1:6" x14ac:dyDescent="0.3">
      <c r="A10" s="5"/>
      <c r="B10" s="7"/>
      <c r="C10" s="28"/>
      <c r="D10" s="25"/>
      <c r="F10" t="str">
        <f t="shared" si="0"/>
        <v/>
      </c>
    </row>
    <row r="11" spans="1:6" x14ac:dyDescent="0.3">
      <c r="A11" s="5"/>
      <c r="B11" s="7"/>
      <c r="C11" s="28"/>
      <c r="D11" s="25"/>
      <c r="F11" t="str">
        <f t="shared" si="0"/>
        <v/>
      </c>
    </row>
    <row r="12" spans="1:6" x14ac:dyDescent="0.3">
      <c r="A12" s="5"/>
      <c r="B12" s="7"/>
      <c r="C12" s="28"/>
      <c r="D12" s="25"/>
      <c r="F12" t="str">
        <f t="shared" si="0"/>
        <v/>
      </c>
    </row>
    <row r="13" spans="1:6" x14ac:dyDescent="0.3">
      <c r="A13" s="5"/>
      <c r="B13" s="7"/>
      <c r="C13" s="28"/>
      <c r="D13" s="25"/>
      <c r="F13" t="str">
        <f t="shared" si="0"/>
        <v/>
      </c>
    </row>
    <row r="14" spans="1:6" x14ac:dyDescent="0.3">
      <c r="A14" s="5"/>
      <c r="B14" s="7"/>
      <c r="C14" s="28"/>
      <c r="D14" s="25"/>
      <c r="F14" t="str">
        <f t="shared" si="0"/>
        <v/>
      </c>
    </row>
    <row r="15" spans="1:6" x14ac:dyDescent="0.3">
      <c r="A15" s="5"/>
      <c r="B15" s="7"/>
      <c r="C15" s="28"/>
      <c r="D15" s="25"/>
      <c r="F15" t="str">
        <f t="shared" si="0"/>
        <v/>
      </c>
    </row>
    <row r="16" spans="1:6" x14ac:dyDescent="0.3">
      <c r="A16" s="5"/>
      <c r="B16" s="7"/>
      <c r="C16" s="28"/>
      <c r="D16" s="25"/>
      <c r="F16" t="str">
        <f t="shared" si="0"/>
        <v/>
      </c>
    </row>
    <row r="17" spans="1:6" x14ac:dyDescent="0.3">
      <c r="A17" s="5"/>
      <c r="B17" s="7"/>
      <c r="C17" s="28"/>
      <c r="D17" s="25"/>
      <c r="F17" t="str">
        <f t="shared" si="0"/>
        <v/>
      </c>
    </row>
    <row r="18" spans="1:6" x14ac:dyDescent="0.3">
      <c r="A18" s="5"/>
      <c r="B18" s="7"/>
      <c r="C18" s="28"/>
      <c r="D18" s="25"/>
      <c r="F18" t="str">
        <f t="shared" si="0"/>
        <v/>
      </c>
    </row>
    <row r="19" spans="1:6" x14ac:dyDescent="0.3">
      <c r="A19" s="5"/>
      <c r="B19" s="7"/>
      <c r="C19" s="28"/>
      <c r="D19" s="25"/>
      <c r="F19" t="str">
        <f t="shared" si="0"/>
        <v/>
      </c>
    </row>
    <row r="20" spans="1:6" x14ac:dyDescent="0.3">
      <c r="A20" s="5"/>
      <c r="B20" s="7"/>
      <c r="C20" s="28"/>
      <c r="D20" s="25"/>
      <c r="F20" t="str">
        <f t="shared" si="0"/>
        <v/>
      </c>
    </row>
    <row r="21" spans="1:6" x14ac:dyDescent="0.3">
      <c r="A21" s="5"/>
      <c r="B21" s="7"/>
      <c r="C21" s="28"/>
      <c r="D21" s="25"/>
      <c r="F21" t="str">
        <f t="shared" si="0"/>
        <v/>
      </c>
    </row>
    <row r="22" spans="1:6" x14ac:dyDescent="0.3">
      <c r="A22" s="5"/>
      <c r="B22" s="7"/>
      <c r="C22" s="28"/>
      <c r="D22" s="25"/>
      <c r="F22" t="str">
        <f t="shared" si="0"/>
        <v/>
      </c>
    </row>
    <row r="23" spans="1:6" x14ac:dyDescent="0.3">
      <c r="A23" s="5"/>
      <c r="B23" s="7"/>
      <c r="C23" s="28"/>
      <c r="D23" s="25"/>
      <c r="F23" t="str">
        <f t="shared" si="0"/>
        <v/>
      </c>
    </row>
    <row r="24" spans="1:6" x14ac:dyDescent="0.3">
      <c r="A24" s="5"/>
      <c r="B24" s="7"/>
      <c r="C24" s="28"/>
      <c r="D24" s="25"/>
      <c r="F24" t="str">
        <f t="shared" si="0"/>
        <v/>
      </c>
    </row>
    <row r="25" spans="1:6" x14ac:dyDescent="0.3">
      <c r="A25" s="5"/>
      <c r="B25" s="7"/>
      <c r="C25" s="28"/>
      <c r="D25" s="25"/>
      <c r="F25" t="str">
        <f t="shared" si="0"/>
        <v/>
      </c>
    </row>
    <row r="26" spans="1:6" x14ac:dyDescent="0.3">
      <c r="A26" s="5"/>
      <c r="B26" s="7"/>
      <c r="C26" s="28"/>
      <c r="D26" s="25"/>
      <c r="F26" t="str">
        <f t="shared" si="0"/>
        <v/>
      </c>
    </row>
    <row r="27" spans="1:6" x14ac:dyDescent="0.3">
      <c r="A27" s="5"/>
      <c r="B27" s="7"/>
      <c r="C27" s="28"/>
      <c r="D27" s="25"/>
      <c r="F27" t="str">
        <f t="shared" si="0"/>
        <v/>
      </c>
    </row>
    <row r="28" spans="1:6" x14ac:dyDescent="0.3">
      <c r="A28" s="5"/>
      <c r="B28" s="7"/>
      <c r="C28" s="28"/>
      <c r="D28" s="25"/>
      <c r="F28" t="str">
        <f t="shared" si="0"/>
        <v/>
      </c>
    </row>
    <row r="29" spans="1:6" x14ac:dyDescent="0.3">
      <c r="A29" s="5"/>
      <c r="B29" s="7"/>
      <c r="C29" s="28"/>
      <c r="D29" s="25"/>
      <c r="F29" t="str">
        <f t="shared" si="0"/>
        <v/>
      </c>
    </row>
    <row r="30" spans="1:6" x14ac:dyDescent="0.3">
      <c r="A30" s="5"/>
      <c r="B30" s="7"/>
      <c r="C30" s="28"/>
      <c r="D30" s="25"/>
      <c r="F30" t="str">
        <f t="shared" si="0"/>
        <v/>
      </c>
    </row>
    <row r="31" spans="1:6" x14ac:dyDescent="0.3">
      <c r="A31" s="5"/>
      <c r="B31" s="7"/>
      <c r="C31" s="28"/>
      <c r="D31" s="25"/>
      <c r="F31" t="str">
        <f t="shared" si="0"/>
        <v/>
      </c>
    </row>
    <row r="32" spans="1:6" x14ac:dyDescent="0.3">
      <c r="A32" s="5"/>
      <c r="B32" s="7"/>
      <c r="C32" s="28"/>
      <c r="D32" s="25"/>
      <c r="F32" t="str">
        <f t="shared" si="0"/>
        <v/>
      </c>
    </row>
    <row r="33" spans="1:6" x14ac:dyDescent="0.3">
      <c r="A33" s="5"/>
      <c r="B33" s="7"/>
      <c r="C33" s="28"/>
      <c r="D33" s="25"/>
      <c r="F33" t="str">
        <f t="shared" si="0"/>
        <v/>
      </c>
    </row>
    <row r="34" spans="1:6" x14ac:dyDescent="0.3">
      <c r="A34" s="5"/>
      <c r="B34" s="7"/>
      <c r="C34" s="28"/>
      <c r="D34" s="25"/>
      <c r="F34" t="str">
        <f t="shared" si="0"/>
        <v/>
      </c>
    </row>
    <row r="35" spans="1:6" x14ac:dyDescent="0.3">
      <c r="A35" s="5"/>
      <c r="B35" s="7"/>
      <c r="C35" s="28"/>
      <c r="D35" s="25"/>
      <c r="F35" t="str">
        <f t="shared" si="0"/>
        <v/>
      </c>
    </row>
    <row r="36" spans="1:6" x14ac:dyDescent="0.3">
      <c r="A36" s="5"/>
      <c r="B36" s="7"/>
      <c r="C36" s="28"/>
      <c r="D36" s="25"/>
      <c r="F36" t="str">
        <f t="shared" si="0"/>
        <v/>
      </c>
    </row>
    <row r="37" spans="1:6" x14ac:dyDescent="0.3">
      <c r="A37" s="5"/>
      <c r="B37" s="7"/>
      <c r="C37" s="28"/>
      <c r="D37" s="25"/>
      <c r="F37" t="str">
        <f t="shared" si="0"/>
        <v/>
      </c>
    </row>
    <row r="38" spans="1:6" x14ac:dyDescent="0.3">
      <c r="A38" s="5"/>
      <c r="B38" s="7"/>
      <c r="C38" s="28"/>
      <c r="D38" s="25"/>
      <c r="F38" t="str">
        <f t="shared" si="0"/>
        <v/>
      </c>
    </row>
    <row r="39" spans="1:6" x14ac:dyDescent="0.3">
      <c r="A39" s="5"/>
      <c r="B39" s="7"/>
      <c r="C39" s="28"/>
      <c r="D39" s="25"/>
      <c r="F39" t="str">
        <f t="shared" si="0"/>
        <v/>
      </c>
    </row>
    <row r="40" spans="1:6" x14ac:dyDescent="0.3">
      <c r="A40" s="5"/>
      <c r="B40" s="7"/>
      <c r="C40" s="28"/>
      <c r="D40" s="25"/>
      <c r="F40" t="str">
        <f t="shared" si="0"/>
        <v/>
      </c>
    </row>
    <row r="41" spans="1:6" x14ac:dyDescent="0.3">
      <c r="A41" s="5"/>
      <c r="B41" s="7"/>
      <c r="C41" s="28"/>
      <c r="D41" s="25"/>
      <c r="F41" t="str">
        <f t="shared" si="0"/>
        <v/>
      </c>
    </row>
    <row r="42" spans="1:6" x14ac:dyDescent="0.3">
      <c r="A42" s="5"/>
      <c r="B42" s="7"/>
      <c r="C42" s="28"/>
      <c r="D42" s="25"/>
      <c r="F42" t="str">
        <f t="shared" si="0"/>
        <v/>
      </c>
    </row>
    <row r="43" spans="1:6" x14ac:dyDescent="0.3">
      <c r="A43" s="5"/>
      <c r="B43" s="7"/>
      <c r="C43" s="28"/>
      <c r="D43" s="25"/>
      <c r="F43" t="str">
        <f t="shared" si="0"/>
        <v/>
      </c>
    </row>
    <row r="44" spans="1:6" x14ac:dyDescent="0.3">
      <c r="A44" s="5"/>
      <c r="B44" s="7"/>
      <c r="C44" s="28"/>
      <c r="D44" s="25"/>
      <c r="F44" t="str">
        <f t="shared" si="0"/>
        <v/>
      </c>
    </row>
    <row r="45" spans="1:6" x14ac:dyDescent="0.3">
      <c r="A45" s="5"/>
      <c r="B45" s="7"/>
      <c r="C45" s="28"/>
      <c r="D45" s="25"/>
      <c r="F45" t="str">
        <f t="shared" si="0"/>
        <v/>
      </c>
    </row>
    <row r="46" spans="1:6" x14ac:dyDescent="0.3">
      <c r="A46" s="5"/>
      <c r="B46" s="7"/>
      <c r="C46" s="28"/>
      <c r="D46" s="25"/>
      <c r="F46" t="str">
        <f t="shared" si="0"/>
        <v/>
      </c>
    </row>
    <row r="47" spans="1:6" x14ac:dyDescent="0.3">
      <c r="A47" s="5"/>
      <c r="B47" s="7"/>
      <c r="C47" s="28"/>
      <c r="D47" s="25"/>
      <c r="F47" t="str">
        <f t="shared" si="0"/>
        <v/>
      </c>
    </row>
    <row r="48" spans="1:6" x14ac:dyDescent="0.3">
      <c r="A48" s="5"/>
      <c r="B48" s="7"/>
      <c r="C48" s="28"/>
      <c r="D48" s="25"/>
      <c r="F48" t="str">
        <f t="shared" si="0"/>
        <v/>
      </c>
    </row>
    <row r="49" spans="1:6" x14ac:dyDescent="0.3">
      <c r="A49" s="5"/>
      <c r="B49" s="7"/>
      <c r="C49" s="28"/>
      <c r="D49" s="25"/>
      <c r="F49" t="str">
        <f t="shared" si="0"/>
        <v/>
      </c>
    </row>
    <row r="50" spans="1:6" x14ac:dyDescent="0.3">
      <c r="A50" s="5"/>
      <c r="B50" s="7"/>
      <c r="C50" s="28"/>
      <c r="D50" s="25"/>
      <c r="F50" t="str">
        <f t="shared" si="0"/>
        <v/>
      </c>
    </row>
    <row r="51" spans="1:6" x14ac:dyDescent="0.3">
      <c r="A51" s="5"/>
      <c r="B51" s="7"/>
      <c r="C51" s="28"/>
      <c r="D51" s="25"/>
      <c r="F51" t="str">
        <f t="shared" si="0"/>
        <v/>
      </c>
    </row>
    <row r="52" spans="1:6" x14ac:dyDescent="0.3">
      <c r="A52" s="5"/>
      <c r="B52" s="7"/>
      <c r="C52" s="28"/>
      <c r="D52" s="25"/>
      <c r="F52" t="str">
        <f t="shared" si="0"/>
        <v/>
      </c>
    </row>
    <row r="53" spans="1:6" x14ac:dyDescent="0.3">
      <c r="A53" s="5"/>
      <c r="B53" s="7"/>
      <c r="C53" s="28"/>
      <c r="D53" s="25"/>
      <c r="F53" t="str">
        <f t="shared" si="0"/>
        <v/>
      </c>
    </row>
    <row r="54" spans="1:6" x14ac:dyDescent="0.3">
      <c r="A54" s="5"/>
      <c r="B54" s="7"/>
      <c r="C54" s="28"/>
      <c r="D54" s="25"/>
      <c r="F54" t="str">
        <f t="shared" si="0"/>
        <v/>
      </c>
    </row>
    <row r="55" spans="1:6" x14ac:dyDescent="0.3">
      <c r="A55" s="5"/>
      <c r="B55" s="7"/>
      <c r="C55" s="28"/>
      <c r="D55" s="25"/>
      <c r="F55" t="str">
        <f t="shared" si="0"/>
        <v/>
      </c>
    </row>
    <row r="56" spans="1:6" x14ac:dyDescent="0.3">
      <c r="A56" s="5"/>
      <c r="B56" s="7"/>
      <c r="C56" s="28"/>
      <c r="D56" s="25"/>
      <c r="F56" t="str">
        <f t="shared" si="0"/>
        <v/>
      </c>
    </row>
    <row r="57" spans="1:6" x14ac:dyDescent="0.3">
      <c r="A57" s="5"/>
      <c r="B57" s="7"/>
      <c r="C57" s="28"/>
      <c r="D57" s="25"/>
      <c r="F57" t="str">
        <f t="shared" si="0"/>
        <v/>
      </c>
    </row>
    <row r="58" spans="1:6" x14ac:dyDescent="0.3">
      <c r="A58" s="5"/>
      <c r="B58" s="7"/>
      <c r="C58" s="28"/>
      <c r="D58" s="25"/>
      <c r="F58" t="str">
        <f t="shared" si="0"/>
        <v/>
      </c>
    </row>
    <row r="59" spans="1:6" x14ac:dyDescent="0.3">
      <c r="A59" s="5"/>
      <c r="B59" s="7"/>
      <c r="C59" s="28"/>
      <c r="D59" s="25"/>
      <c r="F59" t="str">
        <f t="shared" si="0"/>
        <v/>
      </c>
    </row>
    <row r="60" spans="1:6" x14ac:dyDescent="0.3">
      <c r="A60" s="5"/>
      <c r="B60" s="7"/>
      <c r="C60" s="28"/>
      <c r="D60" s="25"/>
      <c r="F60" t="str">
        <f t="shared" si="0"/>
        <v/>
      </c>
    </row>
    <row r="61" spans="1:6" x14ac:dyDescent="0.3">
      <c r="A61" s="5"/>
      <c r="B61" s="7"/>
      <c r="C61" s="28"/>
      <c r="D61" s="25"/>
      <c r="F61" t="str">
        <f t="shared" si="0"/>
        <v/>
      </c>
    </row>
    <row r="62" spans="1:6" x14ac:dyDescent="0.3">
      <c r="A62" s="5"/>
      <c r="B62" s="7"/>
      <c r="C62" s="28"/>
      <c r="D62" s="25"/>
      <c r="F62" t="str">
        <f t="shared" si="0"/>
        <v/>
      </c>
    </row>
    <row r="63" spans="1:6" x14ac:dyDescent="0.3">
      <c r="A63" s="5"/>
      <c r="B63" s="7"/>
      <c r="C63" s="28"/>
      <c r="D63" s="25"/>
      <c r="F63" t="str">
        <f t="shared" si="0"/>
        <v/>
      </c>
    </row>
    <row r="64" spans="1:6" x14ac:dyDescent="0.3">
      <c r="A64" s="5"/>
      <c r="B64" s="7"/>
      <c r="C64" s="28"/>
      <c r="D64" s="25"/>
      <c r="F64" t="str">
        <f t="shared" si="0"/>
        <v/>
      </c>
    </row>
    <row r="65" spans="1:6" x14ac:dyDescent="0.3">
      <c r="A65" s="5"/>
      <c r="B65" s="7"/>
      <c r="C65" s="28"/>
      <c r="D65" s="25"/>
      <c r="F65" t="str">
        <f t="shared" ref="F65:F128" si="1">IF(A65&lt;&gt;"",MONTH(A65),"")</f>
        <v/>
      </c>
    </row>
    <row r="66" spans="1:6" x14ac:dyDescent="0.3">
      <c r="A66" s="5"/>
      <c r="B66" s="7"/>
      <c r="C66" s="28"/>
      <c r="D66" s="25"/>
      <c r="F66" t="str">
        <f t="shared" si="1"/>
        <v/>
      </c>
    </row>
    <row r="67" spans="1:6" x14ac:dyDescent="0.3">
      <c r="A67" s="5"/>
      <c r="B67" s="7"/>
      <c r="C67" s="28"/>
      <c r="D67" s="25"/>
      <c r="F67" t="str">
        <f t="shared" si="1"/>
        <v/>
      </c>
    </row>
    <row r="68" spans="1:6" x14ac:dyDescent="0.3">
      <c r="A68" s="5"/>
      <c r="B68" s="7"/>
      <c r="C68" s="28"/>
      <c r="D68" s="25"/>
      <c r="F68" t="str">
        <f t="shared" si="1"/>
        <v/>
      </c>
    </row>
    <row r="69" spans="1:6" x14ac:dyDescent="0.3">
      <c r="A69" s="5"/>
      <c r="B69" s="7"/>
      <c r="C69" s="28"/>
      <c r="D69" s="25"/>
      <c r="F69" t="str">
        <f t="shared" si="1"/>
        <v/>
      </c>
    </row>
    <row r="70" spans="1:6" x14ac:dyDescent="0.3">
      <c r="A70" s="5"/>
      <c r="B70" s="7"/>
      <c r="C70" s="28"/>
      <c r="D70" s="25"/>
      <c r="F70" t="str">
        <f t="shared" si="1"/>
        <v/>
      </c>
    </row>
    <row r="71" spans="1:6" x14ac:dyDescent="0.3">
      <c r="A71" s="5"/>
      <c r="B71" s="7"/>
      <c r="C71" s="28"/>
      <c r="D71" s="25"/>
      <c r="F71" t="str">
        <f t="shared" si="1"/>
        <v/>
      </c>
    </row>
    <row r="72" spans="1:6" x14ac:dyDescent="0.3">
      <c r="A72" s="5"/>
      <c r="B72" s="7"/>
      <c r="C72" s="28"/>
      <c r="D72" s="25"/>
      <c r="F72" t="str">
        <f t="shared" si="1"/>
        <v/>
      </c>
    </row>
    <row r="73" spans="1:6" x14ac:dyDescent="0.3">
      <c r="A73" s="5"/>
      <c r="B73" s="7"/>
      <c r="C73" s="28"/>
      <c r="D73" s="25"/>
      <c r="F73" t="str">
        <f t="shared" si="1"/>
        <v/>
      </c>
    </row>
    <row r="74" spans="1:6" x14ac:dyDescent="0.3">
      <c r="A74" s="5"/>
      <c r="B74" s="7"/>
      <c r="C74" s="28"/>
      <c r="D74" s="25"/>
      <c r="F74" t="str">
        <f t="shared" si="1"/>
        <v/>
      </c>
    </row>
    <row r="75" spans="1:6" x14ac:dyDescent="0.3">
      <c r="A75" s="5"/>
      <c r="B75" s="7"/>
      <c r="C75" s="28"/>
      <c r="D75" s="25"/>
      <c r="F75" t="str">
        <f t="shared" si="1"/>
        <v/>
      </c>
    </row>
    <row r="76" spans="1:6" x14ac:dyDescent="0.3">
      <c r="A76" s="5"/>
      <c r="B76" s="7"/>
      <c r="C76" s="28"/>
      <c r="D76" s="25"/>
      <c r="F76" t="str">
        <f t="shared" si="1"/>
        <v/>
      </c>
    </row>
    <row r="77" spans="1:6" x14ac:dyDescent="0.3">
      <c r="A77" s="5"/>
      <c r="B77" s="7"/>
      <c r="C77" s="28"/>
      <c r="D77" s="25"/>
      <c r="F77" t="str">
        <f t="shared" si="1"/>
        <v/>
      </c>
    </row>
    <row r="78" spans="1:6" x14ac:dyDescent="0.3">
      <c r="A78" s="5"/>
      <c r="B78" s="7"/>
      <c r="C78" s="28"/>
      <c r="D78" s="25"/>
      <c r="F78" t="str">
        <f t="shared" si="1"/>
        <v/>
      </c>
    </row>
    <row r="79" spans="1:6" x14ac:dyDescent="0.3">
      <c r="A79" s="5"/>
      <c r="B79" s="7"/>
      <c r="C79" s="28"/>
      <c r="D79" s="25"/>
      <c r="F79" t="str">
        <f t="shared" si="1"/>
        <v/>
      </c>
    </row>
    <row r="80" spans="1:6" x14ac:dyDescent="0.3">
      <c r="A80" s="5"/>
      <c r="B80" s="7"/>
      <c r="C80" s="28"/>
      <c r="D80" s="25"/>
      <c r="F80" t="str">
        <f t="shared" si="1"/>
        <v/>
      </c>
    </row>
    <row r="81" spans="1:6" x14ac:dyDescent="0.3">
      <c r="A81" s="5"/>
      <c r="B81" s="7"/>
      <c r="C81" s="28"/>
      <c r="D81" s="25"/>
      <c r="F81" t="str">
        <f t="shared" si="1"/>
        <v/>
      </c>
    </row>
    <row r="82" spans="1:6" x14ac:dyDescent="0.3">
      <c r="A82" s="5"/>
      <c r="B82" s="7"/>
      <c r="C82" s="28"/>
      <c r="D82" s="25"/>
      <c r="F82" t="str">
        <f t="shared" si="1"/>
        <v/>
      </c>
    </row>
    <row r="83" spans="1:6" x14ac:dyDescent="0.3">
      <c r="A83" s="5"/>
      <c r="B83" s="7"/>
      <c r="C83" s="28"/>
      <c r="D83" s="25"/>
      <c r="F83" t="str">
        <f t="shared" si="1"/>
        <v/>
      </c>
    </row>
    <row r="84" spans="1:6" x14ac:dyDescent="0.3">
      <c r="A84" s="5"/>
      <c r="B84" s="7"/>
      <c r="C84" s="28"/>
      <c r="D84" s="25"/>
      <c r="F84" t="str">
        <f t="shared" si="1"/>
        <v/>
      </c>
    </row>
    <row r="85" spans="1:6" x14ac:dyDescent="0.3">
      <c r="A85" s="5"/>
      <c r="B85" s="7"/>
      <c r="C85" s="28"/>
      <c r="D85" s="25"/>
      <c r="F85" t="str">
        <f t="shared" si="1"/>
        <v/>
      </c>
    </row>
    <row r="86" spans="1:6" x14ac:dyDescent="0.3">
      <c r="A86" s="5"/>
      <c r="B86" s="7"/>
      <c r="C86" s="28"/>
      <c r="D86" s="25"/>
      <c r="F86" t="str">
        <f t="shared" si="1"/>
        <v/>
      </c>
    </row>
    <row r="87" spans="1:6" x14ac:dyDescent="0.3">
      <c r="A87" s="5"/>
      <c r="B87" s="7"/>
      <c r="C87" s="28"/>
      <c r="D87" s="25"/>
      <c r="F87" t="str">
        <f t="shared" si="1"/>
        <v/>
      </c>
    </row>
    <row r="88" spans="1:6" x14ac:dyDescent="0.3">
      <c r="A88" s="5"/>
      <c r="B88" s="7"/>
      <c r="C88" s="28"/>
      <c r="D88" s="25"/>
      <c r="F88" t="str">
        <f t="shared" si="1"/>
        <v/>
      </c>
    </row>
    <row r="89" spans="1:6" x14ac:dyDescent="0.3">
      <c r="A89" s="5"/>
      <c r="B89" s="7"/>
      <c r="C89" s="28"/>
      <c r="D89" s="25"/>
      <c r="F89" t="str">
        <f t="shared" si="1"/>
        <v/>
      </c>
    </row>
    <row r="90" spans="1:6" x14ac:dyDescent="0.3">
      <c r="A90" s="5"/>
      <c r="B90" s="7"/>
      <c r="C90" s="28"/>
      <c r="D90" s="25"/>
      <c r="F90" t="str">
        <f t="shared" si="1"/>
        <v/>
      </c>
    </row>
    <row r="91" spans="1:6" x14ac:dyDescent="0.3">
      <c r="A91" s="5"/>
      <c r="B91" s="7"/>
      <c r="C91" s="28"/>
      <c r="D91" s="25"/>
      <c r="F91" t="str">
        <f t="shared" si="1"/>
        <v/>
      </c>
    </row>
    <row r="92" spans="1:6" x14ac:dyDescent="0.3">
      <c r="A92" s="5"/>
      <c r="B92" s="7"/>
      <c r="C92" s="28"/>
      <c r="D92" s="25"/>
      <c r="F92" t="str">
        <f t="shared" si="1"/>
        <v/>
      </c>
    </row>
    <row r="93" spans="1:6" x14ac:dyDescent="0.3">
      <c r="A93" s="5"/>
      <c r="B93" s="7"/>
      <c r="C93" s="28"/>
      <c r="D93" s="25"/>
      <c r="F93" t="str">
        <f t="shared" si="1"/>
        <v/>
      </c>
    </row>
    <row r="94" spans="1:6" x14ac:dyDescent="0.3">
      <c r="A94" s="5"/>
      <c r="B94" s="7"/>
      <c r="C94" s="28"/>
      <c r="D94" s="25"/>
      <c r="F94" t="str">
        <f t="shared" si="1"/>
        <v/>
      </c>
    </row>
    <row r="95" spans="1:6" x14ac:dyDescent="0.3">
      <c r="A95" s="5"/>
      <c r="B95" s="7"/>
      <c r="C95" s="28"/>
      <c r="D95" s="25"/>
      <c r="F95" t="str">
        <f t="shared" si="1"/>
        <v/>
      </c>
    </row>
    <row r="96" spans="1:6" x14ac:dyDescent="0.3">
      <c r="A96" s="5"/>
      <c r="B96" s="7"/>
      <c r="C96" s="28"/>
      <c r="D96" s="25"/>
      <c r="F96" t="str">
        <f t="shared" si="1"/>
        <v/>
      </c>
    </row>
    <row r="97" spans="1:6" x14ac:dyDescent="0.3">
      <c r="A97" s="5"/>
      <c r="B97" s="7"/>
      <c r="C97" s="28"/>
      <c r="D97" s="25"/>
      <c r="F97" t="str">
        <f t="shared" si="1"/>
        <v/>
      </c>
    </row>
    <row r="98" spans="1:6" x14ac:dyDescent="0.3">
      <c r="A98" s="5"/>
      <c r="B98" s="7"/>
      <c r="C98" s="28"/>
      <c r="D98" s="25"/>
      <c r="F98" t="str">
        <f t="shared" si="1"/>
        <v/>
      </c>
    </row>
    <row r="99" spans="1:6" x14ac:dyDescent="0.3">
      <c r="A99" s="5"/>
      <c r="B99" s="7"/>
      <c r="C99" s="28"/>
      <c r="D99" s="25"/>
      <c r="F99" t="str">
        <f t="shared" si="1"/>
        <v/>
      </c>
    </row>
    <row r="100" spans="1:6" x14ac:dyDescent="0.3">
      <c r="A100" s="5"/>
      <c r="B100" s="7"/>
      <c r="C100" s="28"/>
      <c r="D100" s="25"/>
      <c r="F100" t="str">
        <f t="shared" si="1"/>
        <v/>
      </c>
    </row>
    <row r="101" spans="1:6" x14ac:dyDescent="0.3">
      <c r="A101" s="5"/>
      <c r="B101" s="7"/>
      <c r="C101" s="28"/>
      <c r="D101" s="25"/>
      <c r="F101" t="str">
        <f t="shared" si="1"/>
        <v/>
      </c>
    </row>
    <row r="102" spans="1:6" x14ac:dyDescent="0.3">
      <c r="A102" s="5"/>
      <c r="B102" s="7"/>
      <c r="C102" s="28"/>
      <c r="D102" s="25"/>
      <c r="F102" t="str">
        <f t="shared" si="1"/>
        <v/>
      </c>
    </row>
    <row r="103" spans="1:6" x14ac:dyDescent="0.3">
      <c r="A103" s="5"/>
      <c r="B103" s="7"/>
      <c r="C103" s="28"/>
      <c r="D103" s="25"/>
      <c r="F103" t="str">
        <f t="shared" si="1"/>
        <v/>
      </c>
    </row>
    <row r="104" spans="1:6" x14ac:dyDescent="0.3">
      <c r="A104" s="5"/>
      <c r="B104" s="7"/>
      <c r="C104" s="28"/>
      <c r="D104" s="25"/>
      <c r="F104" t="str">
        <f t="shared" si="1"/>
        <v/>
      </c>
    </row>
    <row r="105" spans="1:6" x14ac:dyDescent="0.3">
      <c r="A105" s="5"/>
      <c r="B105" s="7"/>
      <c r="C105" s="28"/>
      <c r="D105" s="25"/>
      <c r="F105" t="str">
        <f t="shared" si="1"/>
        <v/>
      </c>
    </row>
    <row r="106" spans="1:6" x14ac:dyDescent="0.3">
      <c r="A106" s="5"/>
      <c r="B106" s="7"/>
      <c r="C106" s="28"/>
      <c r="D106" s="25"/>
      <c r="F106" t="str">
        <f t="shared" si="1"/>
        <v/>
      </c>
    </row>
    <row r="107" spans="1:6" x14ac:dyDescent="0.3">
      <c r="A107" s="5"/>
      <c r="B107" s="7"/>
      <c r="C107" s="28"/>
      <c r="D107" s="25"/>
      <c r="F107" t="str">
        <f t="shared" si="1"/>
        <v/>
      </c>
    </row>
    <row r="108" spans="1:6" x14ac:dyDescent="0.3">
      <c r="A108" s="5"/>
      <c r="B108" s="7"/>
      <c r="C108" s="28"/>
      <c r="D108" s="25"/>
      <c r="F108" t="str">
        <f t="shared" si="1"/>
        <v/>
      </c>
    </row>
    <row r="109" spans="1:6" x14ac:dyDescent="0.3">
      <c r="A109" s="5"/>
      <c r="B109" s="7"/>
      <c r="C109" s="28"/>
      <c r="D109" s="25"/>
      <c r="F109" t="str">
        <f t="shared" si="1"/>
        <v/>
      </c>
    </row>
    <row r="110" spans="1:6" x14ac:dyDescent="0.3">
      <c r="A110" s="5"/>
      <c r="B110" s="7"/>
      <c r="C110" s="28"/>
      <c r="D110" s="25"/>
      <c r="F110" t="str">
        <f t="shared" si="1"/>
        <v/>
      </c>
    </row>
    <row r="111" spans="1:6" x14ac:dyDescent="0.3">
      <c r="A111" s="5"/>
      <c r="B111" s="7"/>
      <c r="C111" s="28"/>
      <c r="D111" s="25"/>
      <c r="F111" t="str">
        <f t="shared" si="1"/>
        <v/>
      </c>
    </row>
    <row r="112" spans="1:6" x14ac:dyDescent="0.3">
      <c r="A112" s="5"/>
      <c r="B112" s="7"/>
      <c r="C112" s="28"/>
      <c r="D112" s="25"/>
      <c r="F112" t="str">
        <f t="shared" si="1"/>
        <v/>
      </c>
    </row>
    <row r="113" spans="1:6" x14ac:dyDescent="0.3">
      <c r="A113" s="5"/>
      <c r="B113" s="7"/>
      <c r="C113" s="28"/>
      <c r="D113" s="25"/>
      <c r="F113" t="str">
        <f t="shared" si="1"/>
        <v/>
      </c>
    </row>
    <row r="114" spans="1:6" x14ac:dyDescent="0.3">
      <c r="A114" s="5"/>
      <c r="B114" s="7"/>
      <c r="C114" s="28"/>
      <c r="D114" s="25"/>
      <c r="F114" t="str">
        <f t="shared" si="1"/>
        <v/>
      </c>
    </row>
    <row r="115" spans="1:6" x14ac:dyDescent="0.3">
      <c r="A115" s="5"/>
      <c r="B115" s="7"/>
      <c r="C115" s="28"/>
      <c r="D115" s="25"/>
      <c r="F115" t="str">
        <f t="shared" si="1"/>
        <v/>
      </c>
    </row>
    <row r="116" spans="1:6" x14ac:dyDescent="0.3">
      <c r="A116" s="5"/>
      <c r="B116" s="7"/>
      <c r="C116" s="28"/>
      <c r="D116" s="25"/>
      <c r="F116" t="str">
        <f t="shared" si="1"/>
        <v/>
      </c>
    </row>
    <row r="117" spans="1:6" x14ac:dyDescent="0.3">
      <c r="A117" s="5"/>
      <c r="B117" s="7"/>
      <c r="C117" s="28"/>
      <c r="D117" s="25"/>
      <c r="F117" t="str">
        <f t="shared" si="1"/>
        <v/>
      </c>
    </row>
    <row r="118" spans="1:6" x14ac:dyDescent="0.3">
      <c r="A118" s="5"/>
      <c r="B118" s="7"/>
      <c r="C118" s="28"/>
      <c r="D118" s="25"/>
      <c r="F118" t="str">
        <f t="shared" si="1"/>
        <v/>
      </c>
    </row>
    <row r="119" spans="1:6" x14ac:dyDescent="0.3">
      <c r="A119" s="5"/>
      <c r="B119" s="7"/>
      <c r="C119" s="28"/>
      <c r="D119" s="25"/>
      <c r="F119" t="str">
        <f t="shared" si="1"/>
        <v/>
      </c>
    </row>
    <row r="120" spans="1:6" x14ac:dyDescent="0.3">
      <c r="A120" s="5"/>
      <c r="B120" s="7"/>
      <c r="C120" s="28"/>
      <c r="D120" s="25"/>
      <c r="F120" t="str">
        <f t="shared" si="1"/>
        <v/>
      </c>
    </row>
    <row r="121" spans="1:6" x14ac:dyDescent="0.3">
      <c r="A121" s="5"/>
      <c r="B121" s="7"/>
      <c r="C121" s="28"/>
      <c r="D121" s="25"/>
      <c r="F121" t="str">
        <f t="shared" si="1"/>
        <v/>
      </c>
    </row>
    <row r="122" spans="1:6" x14ac:dyDescent="0.3">
      <c r="A122" s="5"/>
      <c r="B122" s="7"/>
      <c r="C122" s="28"/>
      <c r="D122" s="25"/>
      <c r="F122" t="str">
        <f t="shared" si="1"/>
        <v/>
      </c>
    </row>
    <row r="123" spans="1:6" x14ac:dyDescent="0.3">
      <c r="A123" s="5"/>
      <c r="B123" s="7"/>
      <c r="C123" s="28"/>
      <c r="D123" s="25"/>
      <c r="F123" t="str">
        <f t="shared" si="1"/>
        <v/>
      </c>
    </row>
    <row r="124" spans="1:6" x14ac:dyDescent="0.3">
      <c r="A124" s="5"/>
      <c r="B124" s="7"/>
      <c r="C124" s="28"/>
      <c r="D124" s="25"/>
      <c r="F124" t="str">
        <f t="shared" si="1"/>
        <v/>
      </c>
    </row>
    <row r="125" spans="1:6" x14ac:dyDescent="0.3">
      <c r="A125" s="5"/>
      <c r="B125" s="7"/>
      <c r="C125" s="28"/>
      <c r="D125" s="25"/>
      <c r="F125" t="str">
        <f t="shared" si="1"/>
        <v/>
      </c>
    </row>
    <row r="126" spans="1:6" x14ac:dyDescent="0.3">
      <c r="A126" s="5"/>
      <c r="B126" s="7"/>
      <c r="C126" s="28"/>
      <c r="D126" s="25"/>
      <c r="F126" t="str">
        <f t="shared" si="1"/>
        <v/>
      </c>
    </row>
    <row r="127" spans="1:6" x14ac:dyDescent="0.3">
      <c r="A127" s="5"/>
      <c r="B127" s="7"/>
      <c r="C127" s="28"/>
      <c r="D127" s="25"/>
      <c r="F127" t="str">
        <f t="shared" si="1"/>
        <v/>
      </c>
    </row>
    <row r="128" spans="1:6" x14ac:dyDescent="0.3">
      <c r="A128" s="5"/>
      <c r="B128" s="7"/>
      <c r="C128" s="28"/>
      <c r="D128" s="25"/>
      <c r="F128" t="str">
        <f t="shared" si="1"/>
        <v/>
      </c>
    </row>
    <row r="129" spans="1:6" x14ac:dyDescent="0.3">
      <c r="A129" s="5"/>
      <c r="B129" s="7"/>
      <c r="C129" s="28"/>
      <c r="D129" s="25"/>
      <c r="F129" t="str">
        <f t="shared" ref="F129:F192" si="2">IF(A129&lt;&gt;"",MONTH(A129),"")</f>
        <v/>
      </c>
    </row>
    <row r="130" spans="1:6" x14ac:dyDescent="0.3">
      <c r="A130" s="5"/>
      <c r="B130" s="7"/>
      <c r="C130" s="28"/>
      <c r="D130" s="25"/>
      <c r="F130" t="str">
        <f t="shared" si="2"/>
        <v/>
      </c>
    </row>
    <row r="131" spans="1:6" x14ac:dyDescent="0.3">
      <c r="A131" s="5"/>
      <c r="B131" s="7"/>
      <c r="C131" s="28"/>
      <c r="D131" s="25"/>
      <c r="F131" t="str">
        <f t="shared" si="2"/>
        <v/>
      </c>
    </row>
    <row r="132" spans="1:6" x14ac:dyDescent="0.3">
      <c r="A132" s="5"/>
      <c r="B132" s="7"/>
      <c r="C132" s="28"/>
      <c r="D132" s="25"/>
      <c r="F132" t="str">
        <f t="shared" si="2"/>
        <v/>
      </c>
    </row>
    <row r="133" spans="1:6" x14ac:dyDescent="0.3">
      <c r="A133" s="5"/>
      <c r="B133" s="7"/>
      <c r="C133" s="28"/>
      <c r="D133" s="25"/>
      <c r="F133" t="str">
        <f t="shared" si="2"/>
        <v/>
      </c>
    </row>
    <row r="134" spans="1:6" x14ac:dyDescent="0.3">
      <c r="A134" s="5"/>
      <c r="B134" s="7"/>
      <c r="C134" s="28"/>
      <c r="D134" s="25"/>
      <c r="F134" t="str">
        <f t="shared" si="2"/>
        <v/>
      </c>
    </row>
    <row r="135" spans="1:6" x14ac:dyDescent="0.3">
      <c r="A135" s="5"/>
      <c r="B135" s="7"/>
      <c r="C135" s="28"/>
      <c r="D135" s="25"/>
      <c r="F135" t="str">
        <f t="shared" si="2"/>
        <v/>
      </c>
    </row>
    <row r="136" spans="1:6" x14ac:dyDescent="0.3">
      <c r="A136" s="5"/>
      <c r="B136" s="7"/>
      <c r="C136" s="28"/>
      <c r="D136" s="25"/>
      <c r="F136" t="str">
        <f t="shared" si="2"/>
        <v/>
      </c>
    </row>
    <row r="137" spans="1:6" x14ac:dyDescent="0.3">
      <c r="A137" s="5"/>
      <c r="B137" s="7"/>
      <c r="C137" s="28"/>
      <c r="D137" s="25"/>
      <c r="F137" t="str">
        <f t="shared" si="2"/>
        <v/>
      </c>
    </row>
    <row r="138" spans="1:6" x14ac:dyDescent="0.3">
      <c r="A138" s="5"/>
      <c r="B138" s="7"/>
      <c r="C138" s="28"/>
      <c r="D138" s="25"/>
      <c r="F138" t="str">
        <f t="shared" si="2"/>
        <v/>
      </c>
    </row>
    <row r="139" spans="1:6" x14ac:dyDescent="0.3">
      <c r="A139" s="5"/>
      <c r="B139" s="7"/>
      <c r="C139" s="28"/>
      <c r="D139" s="25"/>
      <c r="F139" t="str">
        <f t="shared" si="2"/>
        <v/>
      </c>
    </row>
    <row r="140" spans="1:6" x14ac:dyDescent="0.3">
      <c r="A140" s="5"/>
      <c r="B140" s="7"/>
      <c r="C140" s="28"/>
      <c r="D140" s="25"/>
      <c r="F140" t="str">
        <f t="shared" si="2"/>
        <v/>
      </c>
    </row>
    <row r="141" spans="1:6" x14ac:dyDescent="0.3">
      <c r="A141" s="5"/>
      <c r="B141" s="7"/>
      <c r="C141" s="28"/>
      <c r="D141" s="25"/>
      <c r="F141" t="str">
        <f t="shared" si="2"/>
        <v/>
      </c>
    </row>
    <row r="142" spans="1:6" x14ac:dyDescent="0.3">
      <c r="A142" s="5"/>
      <c r="B142" s="7"/>
      <c r="C142" s="28"/>
      <c r="D142" s="25"/>
      <c r="F142" t="str">
        <f t="shared" si="2"/>
        <v/>
      </c>
    </row>
    <row r="143" spans="1:6" x14ac:dyDescent="0.3">
      <c r="A143" s="5"/>
      <c r="B143" s="7"/>
      <c r="C143" s="28"/>
      <c r="D143" s="25"/>
      <c r="F143" t="str">
        <f t="shared" si="2"/>
        <v/>
      </c>
    </row>
    <row r="144" spans="1:6" x14ac:dyDescent="0.3">
      <c r="A144" s="5"/>
      <c r="B144" s="7"/>
      <c r="C144" s="28"/>
      <c r="D144" s="25"/>
      <c r="F144" t="str">
        <f t="shared" si="2"/>
        <v/>
      </c>
    </row>
    <row r="145" spans="1:6" x14ac:dyDescent="0.3">
      <c r="A145" s="5"/>
      <c r="B145" s="7"/>
      <c r="C145" s="28"/>
      <c r="D145" s="25"/>
      <c r="F145" t="str">
        <f t="shared" si="2"/>
        <v/>
      </c>
    </row>
    <row r="146" spans="1:6" x14ac:dyDescent="0.3">
      <c r="A146" s="5"/>
      <c r="B146" s="7"/>
      <c r="C146" s="28"/>
      <c r="D146" s="25"/>
      <c r="F146" t="str">
        <f t="shared" si="2"/>
        <v/>
      </c>
    </row>
    <row r="147" spans="1:6" x14ac:dyDescent="0.3">
      <c r="A147" s="5"/>
      <c r="B147" s="7"/>
      <c r="C147" s="28"/>
      <c r="D147" s="25"/>
      <c r="F147" t="str">
        <f t="shared" si="2"/>
        <v/>
      </c>
    </row>
    <row r="148" spans="1:6" x14ac:dyDescent="0.3">
      <c r="A148" s="5"/>
      <c r="B148" s="7"/>
      <c r="C148" s="28"/>
      <c r="D148" s="25"/>
      <c r="F148" t="str">
        <f t="shared" si="2"/>
        <v/>
      </c>
    </row>
    <row r="149" spans="1:6" x14ac:dyDescent="0.3">
      <c r="A149" s="5"/>
      <c r="B149" s="7"/>
      <c r="C149" s="28"/>
      <c r="D149" s="25"/>
      <c r="F149" t="str">
        <f t="shared" si="2"/>
        <v/>
      </c>
    </row>
    <row r="150" spans="1:6" x14ac:dyDescent="0.3">
      <c r="A150" s="5"/>
      <c r="B150" s="7"/>
      <c r="C150" s="28"/>
      <c r="D150" s="25"/>
      <c r="F150" t="str">
        <f t="shared" si="2"/>
        <v/>
      </c>
    </row>
    <row r="151" spans="1:6" x14ac:dyDescent="0.3">
      <c r="A151" s="5"/>
      <c r="B151" s="7"/>
      <c r="C151" s="28"/>
      <c r="D151" s="25"/>
      <c r="F151" t="str">
        <f t="shared" si="2"/>
        <v/>
      </c>
    </row>
    <row r="152" spans="1:6" x14ac:dyDescent="0.3">
      <c r="A152" s="5"/>
      <c r="B152" s="7"/>
      <c r="C152" s="28"/>
      <c r="D152" s="25"/>
      <c r="F152" t="str">
        <f t="shared" si="2"/>
        <v/>
      </c>
    </row>
    <row r="153" spans="1:6" x14ac:dyDescent="0.3">
      <c r="A153" s="5"/>
      <c r="B153" s="7"/>
      <c r="C153" s="28"/>
      <c r="D153" s="25"/>
      <c r="F153" t="str">
        <f t="shared" si="2"/>
        <v/>
      </c>
    </row>
    <row r="154" spans="1:6" x14ac:dyDescent="0.3">
      <c r="A154" s="5"/>
      <c r="B154" s="7"/>
      <c r="C154" s="28"/>
      <c r="D154" s="25"/>
      <c r="F154" t="str">
        <f t="shared" si="2"/>
        <v/>
      </c>
    </row>
    <row r="155" spans="1:6" x14ac:dyDescent="0.3">
      <c r="A155" s="5"/>
      <c r="B155" s="7"/>
      <c r="C155" s="28"/>
      <c r="D155" s="25"/>
      <c r="F155" t="str">
        <f t="shared" si="2"/>
        <v/>
      </c>
    </row>
    <row r="156" spans="1:6" x14ac:dyDescent="0.3">
      <c r="A156" s="5"/>
      <c r="B156" s="7"/>
      <c r="C156" s="28"/>
      <c r="D156" s="25"/>
      <c r="F156" t="str">
        <f t="shared" si="2"/>
        <v/>
      </c>
    </row>
    <row r="157" spans="1:6" x14ac:dyDescent="0.3">
      <c r="A157" s="5"/>
      <c r="B157" s="7"/>
      <c r="C157" s="28"/>
      <c r="D157" s="25"/>
      <c r="F157" t="str">
        <f t="shared" si="2"/>
        <v/>
      </c>
    </row>
    <row r="158" spans="1:6" x14ac:dyDescent="0.3">
      <c r="A158" s="5"/>
      <c r="B158" s="7"/>
      <c r="C158" s="28"/>
      <c r="D158" s="25"/>
      <c r="F158" t="str">
        <f t="shared" si="2"/>
        <v/>
      </c>
    </row>
    <row r="159" spans="1:6" x14ac:dyDescent="0.3">
      <c r="A159" s="5"/>
      <c r="B159" s="7"/>
      <c r="C159" s="28"/>
      <c r="D159" s="25"/>
      <c r="F159" t="str">
        <f t="shared" si="2"/>
        <v/>
      </c>
    </row>
    <row r="160" spans="1:6" x14ac:dyDescent="0.3">
      <c r="A160" s="5"/>
      <c r="B160" s="7"/>
      <c r="C160" s="28"/>
      <c r="D160" s="25"/>
      <c r="F160" t="str">
        <f t="shared" si="2"/>
        <v/>
      </c>
    </row>
    <row r="161" spans="1:6" x14ac:dyDescent="0.3">
      <c r="A161" s="5"/>
      <c r="B161" s="7"/>
      <c r="C161" s="28"/>
      <c r="D161" s="25"/>
      <c r="F161" t="str">
        <f t="shared" si="2"/>
        <v/>
      </c>
    </row>
    <row r="162" spans="1:6" x14ac:dyDescent="0.3">
      <c r="A162" s="5"/>
      <c r="B162" s="7"/>
      <c r="C162" s="28"/>
      <c r="D162" s="25"/>
      <c r="F162" t="str">
        <f t="shared" si="2"/>
        <v/>
      </c>
    </row>
    <row r="163" spans="1:6" x14ac:dyDescent="0.3">
      <c r="A163" s="5"/>
      <c r="B163" s="7"/>
      <c r="C163" s="28"/>
      <c r="D163" s="25"/>
      <c r="F163" t="str">
        <f t="shared" si="2"/>
        <v/>
      </c>
    </row>
    <row r="164" spans="1:6" x14ac:dyDescent="0.3">
      <c r="A164" s="5"/>
      <c r="B164" s="7"/>
      <c r="C164" s="28"/>
      <c r="D164" s="25"/>
      <c r="F164" t="str">
        <f t="shared" si="2"/>
        <v/>
      </c>
    </row>
    <row r="165" spans="1:6" x14ac:dyDescent="0.3">
      <c r="A165" s="5"/>
      <c r="B165" s="7"/>
      <c r="C165" s="28"/>
      <c r="D165" s="25"/>
      <c r="F165" t="str">
        <f t="shared" si="2"/>
        <v/>
      </c>
    </row>
    <row r="166" spans="1:6" x14ac:dyDescent="0.3">
      <c r="A166" s="5"/>
      <c r="B166" s="7"/>
      <c r="C166" s="28"/>
      <c r="D166" s="25"/>
      <c r="F166" t="str">
        <f t="shared" si="2"/>
        <v/>
      </c>
    </row>
    <row r="167" spans="1:6" x14ac:dyDescent="0.3">
      <c r="A167" s="5"/>
      <c r="B167" s="7"/>
      <c r="C167" s="28"/>
      <c r="D167" s="25"/>
      <c r="F167" t="str">
        <f t="shared" si="2"/>
        <v/>
      </c>
    </row>
    <row r="168" spans="1:6" x14ac:dyDescent="0.3">
      <c r="A168" s="5"/>
      <c r="B168" s="7"/>
      <c r="C168" s="28"/>
      <c r="D168" s="25"/>
      <c r="F168" t="str">
        <f t="shared" si="2"/>
        <v/>
      </c>
    </row>
    <row r="169" spans="1:6" x14ac:dyDescent="0.3">
      <c r="A169" s="5"/>
      <c r="B169" s="7"/>
      <c r="C169" s="28"/>
      <c r="D169" s="25"/>
      <c r="F169" t="str">
        <f t="shared" si="2"/>
        <v/>
      </c>
    </row>
    <row r="170" spans="1:6" x14ac:dyDescent="0.3">
      <c r="A170" s="5"/>
      <c r="B170" s="7"/>
      <c r="C170" s="28"/>
      <c r="D170" s="25"/>
      <c r="F170" t="str">
        <f t="shared" si="2"/>
        <v/>
      </c>
    </row>
    <row r="171" spans="1:6" x14ac:dyDescent="0.3">
      <c r="A171" s="5"/>
      <c r="B171" s="7"/>
      <c r="C171" s="28"/>
      <c r="D171" s="25"/>
      <c r="F171" t="str">
        <f t="shared" si="2"/>
        <v/>
      </c>
    </row>
    <row r="172" spans="1:6" x14ac:dyDescent="0.3">
      <c r="A172" s="5"/>
      <c r="B172" s="7"/>
      <c r="C172" s="28"/>
      <c r="D172" s="25"/>
      <c r="F172" t="str">
        <f t="shared" si="2"/>
        <v/>
      </c>
    </row>
    <row r="173" spans="1:6" x14ac:dyDescent="0.3">
      <c r="A173" s="5"/>
      <c r="B173" s="7"/>
      <c r="C173" s="28"/>
      <c r="D173" s="25"/>
      <c r="F173" t="str">
        <f t="shared" si="2"/>
        <v/>
      </c>
    </row>
    <row r="174" spans="1:6" x14ac:dyDescent="0.3">
      <c r="A174" s="5"/>
      <c r="B174" s="7"/>
      <c r="C174" s="28"/>
      <c r="D174" s="25"/>
      <c r="F174" t="str">
        <f t="shared" si="2"/>
        <v/>
      </c>
    </row>
    <row r="175" spans="1:6" x14ac:dyDescent="0.3">
      <c r="A175" s="5"/>
      <c r="B175" s="7"/>
      <c r="C175" s="28"/>
      <c r="D175" s="25"/>
      <c r="F175" t="str">
        <f t="shared" si="2"/>
        <v/>
      </c>
    </row>
    <row r="176" spans="1:6" x14ac:dyDescent="0.3">
      <c r="A176" s="5"/>
      <c r="B176" s="7"/>
      <c r="C176" s="28"/>
      <c r="D176" s="25"/>
      <c r="F176" t="str">
        <f t="shared" si="2"/>
        <v/>
      </c>
    </row>
    <row r="177" spans="1:6" x14ac:dyDescent="0.3">
      <c r="A177" s="5"/>
      <c r="B177" s="7"/>
      <c r="C177" s="28"/>
      <c r="D177" s="25"/>
      <c r="F177" t="str">
        <f t="shared" si="2"/>
        <v/>
      </c>
    </row>
    <row r="178" spans="1:6" x14ac:dyDescent="0.3">
      <c r="A178" s="5"/>
      <c r="B178" s="7"/>
      <c r="C178" s="28"/>
      <c r="D178" s="25"/>
      <c r="F178" t="str">
        <f t="shared" si="2"/>
        <v/>
      </c>
    </row>
    <row r="179" spans="1:6" x14ac:dyDescent="0.3">
      <c r="A179" s="5"/>
      <c r="B179" s="7"/>
      <c r="C179" s="28"/>
      <c r="D179" s="25"/>
      <c r="F179" t="str">
        <f t="shared" si="2"/>
        <v/>
      </c>
    </row>
    <row r="180" spans="1:6" x14ac:dyDescent="0.3">
      <c r="A180" s="5"/>
      <c r="B180" s="7"/>
      <c r="C180" s="28"/>
      <c r="D180" s="25"/>
      <c r="F180" t="str">
        <f t="shared" si="2"/>
        <v/>
      </c>
    </row>
    <row r="181" spans="1:6" x14ac:dyDescent="0.3">
      <c r="A181" s="5"/>
      <c r="B181" s="7"/>
      <c r="C181" s="28"/>
      <c r="D181" s="25"/>
      <c r="F181" t="str">
        <f t="shared" si="2"/>
        <v/>
      </c>
    </row>
    <row r="182" spans="1:6" x14ac:dyDescent="0.3">
      <c r="A182" s="5"/>
      <c r="B182" s="7"/>
      <c r="C182" s="28"/>
      <c r="D182" s="25"/>
      <c r="F182" t="str">
        <f t="shared" si="2"/>
        <v/>
      </c>
    </row>
    <row r="183" spans="1:6" x14ac:dyDescent="0.3">
      <c r="A183" s="5"/>
      <c r="B183" s="7"/>
      <c r="C183" s="28"/>
      <c r="D183" s="25"/>
      <c r="F183" t="str">
        <f t="shared" si="2"/>
        <v/>
      </c>
    </row>
    <row r="184" spans="1:6" x14ac:dyDescent="0.3">
      <c r="A184" s="5"/>
      <c r="B184" s="7"/>
      <c r="C184" s="28"/>
      <c r="D184" s="25"/>
      <c r="F184" t="str">
        <f t="shared" si="2"/>
        <v/>
      </c>
    </row>
    <row r="185" spans="1:6" x14ac:dyDescent="0.3">
      <c r="A185" s="5"/>
      <c r="B185" s="7"/>
      <c r="C185" s="28"/>
      <c r="D185" s="25"/>
      <c r="F185" t="str">
        <f t="shared" si="2"/>
        <v/>
      </c>
    </row>
    <row r="186" spans="1:6" x14ac:dyDescent="0.3">
      <c r="A186" s="5"/>
      <c r="B186" s="7"/>
      <c r="C186" s="28"/>
      <c r="D186" s="25"/>
      <c r="F186" t="str">
        <f t="shared" si="2"/>
        <v/>
      </c>
    </row>
    <row r="187" spans="1:6" x14ac:dyDescent="0.3">
      <c r="A187" s="5"/>
      <c r="B187" s="7"/>
      <c r="C187" s="28"/>
      <c r="D187" s="25"/>
      <c r="F187" t="str">
        <f t="shared" si="2"/>
        <v/>
      </c>
    </row>
    <row r="188" spans="1:6" x14ac:dyDescent="0.3">
      <c r="A188" s="5"/>
      <c r="B188" s="7"/>
      <c r="C188" s="28"/>
      <c r="D188" s="25"/>
      <c r="F188" t="str">
        <f t="shared" si="2"/>
        <v/>
      </c>
    </row>
    <row r="189" spans="1:6" x14ac:dyDescent="0.3">
      <c r="A189" s="5"/>
      <c r="B189" s="7"/>
      <c r="C189" s="28"/>
      <c r="D189" s="25"/>
      <c r="F189" t="str">
        <f t="shared" si="2"/>
        <v/>
      </c>
    </row>
    <row r="190" spans="1:6" x14ac:dyDescent="0.3">
      <c r="A190" s="5"/>
      <c r="B190" s="7"/>
      <c r="C190" s="28"/>
      <c r="D190" s="25"/>
      <c r="F190" t="str">
        <f t="shared" si="2"/>
        <v/>
      </c>
    </row>
    <row r="191" spans="1:6" x14ac:dyDescent="0.3">
      <c r="A191" s="5"/>
      <c r="B191" s="7"/>
      <c r="C191" s="28"/>
      <c r="D191" s="25"/>
      <c r="F191" t="str">
        <f t="shared" si="2"/>
        <v/>
      </c>
    </row>
    <row r="192" spans="1:6" x14ac:dyDescent="0.3">
      <c r="A192" s="5"/>
      <c r="B192" s="7"/>
      <c r="C192" s="28"/>
      <c r="D192" s="25"/>
      <c r="F192" t="str">
        <f t="shared" si="2"/>
        <v/>
      </c>
    </row>
    <row r="193" spans="1:6" x14ac:dyDescent="0.3">
      <c r="A193" s="5"/>
      <c r="B193" s="7"/>
      <c r="C193" s="28"/>
      <c r="D193" s="25"/>
      <c r="F193" t="str">
        <f t="shared" ref="F193:F256" si="3">IF(A193&lt;&gt;"",MONTH(A193),"")</f>
        <v/>
      </c>
    </row>
    <row r="194" spans="1:6" x14ac:dyDescent="0.3">
      <c r="A194" s="5"/>
      <c r="B194" s="7"/>
      <c r="C194" s="28"/>
      <c r="D194" s="25"/>
      <c r="F194" t="str">
        <f t="shared" si="3"/>
        <v/>
      </c>
    </row>
    <row r="195" spans="1:6" x14ac:dyDescent="0.3">
      <c r="A195" s="5"/>
      <c r="B195" s="7"/>
      <c r="C195" s="28"/>
      <c r="D195" s="25"/>
      <c r="F195" t="str">
        <f t="shared" si="3"/>
        <v/>
      </c>
    </row>
    <row r="196" spans="1:6" x14ac:dyDescent="0.3">
      <c r="A196" s="5"/>
      <c r="B196" s="7"/>
      <c r="C196" s="28"/>
      <c r="D196" s="25"/>
      <c r="F196" t="str">
        <f t="shared" si="3"/>
        <v/>
      </c>
    </row>
    <row r="197" spans="1:6" x14ac:dyDescent="0.3">
      <c r="A197" s="5"/>
      <c r="B197" s="7"/>
      <c r="C197" s="28"/>
      <c r="D197" s="25"/>
      <c r="F197" t="str">
        <f t="shared" si="3"/>
        <v/>
      </c>
    </row>
    <row r="198" spans="1:6" x14ac:dyDescent="0.3">
      <c r="A198" s="5"/>
      <c r="B198" s="7"/>
      <c r="C198" s="28"/>
      <c r="D198" s="25"/>
      <c r="F198" t="str">
        <f t="shared" si="3"/>
        <v/>
      </c>
    </row>
    <row r="199" spans="1:6" x14ac:dyDescent="0.3">
      <c r="A199" s="5"/>
      <c r="B199" s="7"/>
      <c r="C199" s="28"/>
      <c r="D199" s="25"/>
      <c r="F199" t="str">
        <f t="shared" si="3"/>
        <v/>
      </c>
    </row>
    <row r="200" spans="1:6" x14ac:dyDescent="0.3">
      <c r="A200" s="5"/>
      <c r="B200" s="7"/>
      <c r="C200" s="28"/>
      <c r="D200" s="25"/>
      <c r="F200" t="str">
        <f t="shared" si="3"/>
        <v/>
      </c>
    </row>
    <row r="201" spans="1:6" x14ac:dyDescent="0.3">
      <c r="A201" s="5"/>
      <c r="B201" s="7"/>
      <c r="C201" s="28"/>
      <c r="D201" s="25"/>
      <c r="F201" t="str">
        <f t="shared" si="3"/>
        <v/>
      </c>
    </row>
    <row r="202" spans="1:6" x14ac:dyDescent="0.3">
      <c r="A202" s="5"/>
      <c r="B202" s="7"/>
      <c r="C202" s="28"/>
      <c r="D202" s="25"/>
      <c r="F202" t="str">
        <f t="shared" si="3"/>
        <v/>
      </c>
    </row>
    <row r="203" spans="1:6" x14ac:dyDescent="0.3">
      <c r="A203" s="5"/>
      <c r="B203" s="7"/>
      <c r="C203" s="28"/>
      <c r="D203" s="25"/>
      <c r="F203" t="str">
        <f t="shared" si="3"/>
        <v/>
      </c>
    </row>
    <row r="204" spans="1:6" x14ac:dyDescent="0.3">
      <c r="A204" s="5"/>
      <c r="B204" s="7"/>
      <c r="C204" s="28"/>
      <c r="D204" s="25"/>
      <c r="F204" t="str">
        <f t="shared" si="3"/>
        <v/>
      </c>
    </row>
    <row r="205" spans="1:6" x14ac:dyDescent="0.3">
      <c r="A205" s="5"/>
      <c r="B205" s="7"/>
      <c r="C205" s="28"/>
      <c r="D205" s="25"/>
      <c r="F205" t="str">
        <f t="shared" si="3"/>
        <v/>
      </c>
    </row>
    <row r="206" spans="1:6" x14ac:dyDescent="0.3">
      <c r="A206" s="5"/>
      <c r="B206" s="7"/>
      <c r="C206" s="28"/>
      <c r="D206" s="25"/>
      <c r="F206" t="str">
        <f t="shared" si="3"/>
        <v/>
      </c>
    </row>
    <row r="207" spans="1:6" x14ac:dyDescent="0.3">
      <c r="A207" s="5"/>
      <c r="B207" s="7"/>
      <c r="C207" s="28"/>
      <c r="D207" s="25"/>
      <c r="F207" t="str">
        <f t="shared" si="3"/>
        <v/>
      </c>
    </row>
    <row r="208" spans="1:6" x14ac:dyDescent="0.3">
      <c r="A208" s="5"/>
      <c r="B208" s="7"/>
      <c r="C208" s="28"/>
      <c r="D208" s="25"/>
      <c r="F208" t="str">
        <f t="shared" si="3"/>
        <v/>
      </c>
    </row>
    <row r="209" spans="1:6" x14ac:dyDescent="0.3">
      <c r="A209" s="5"/>
      <c r="B209" s="7"/>
      <c r="C209" s="28"/>
      <c r="D209" s="25"/>
      <c r="F209" t="str">
        <f t="shared" si="3"/>
        <v/>
      </c>
    </row>
    <row r="210" spans="1:6" x14ac:dyDescent="0.3">
      <c r="A210" s="5"/>
      <c r="B210" s="7"/>
      <c r="C210" s="28"/>
      <c r="D210" s="25"/>
      <c r="F210" t="str">
        <f t="shared" si="3"/>
        <v/>
      </c>
    </row>
    <row r="211" spans="1:6" x14ac:dyDescent="0.3">
      <c r="A211" s="5"/>
      <c r="B211" s="7"/>
      <c r="C211" s="28"/>
      <c r="D211" s="25"/>
      <c r="F211" t="str">
        <f t="shared" si="3"/>
        <v/>
      </c>
    </row>
    <row r="212" spans="1:6" x14ac:dyDescent="0.3">
      <c r="A212" s="5"/>
      <c r="B212" s="7"/>
      <c r="C212" s="28"/>
      <c r="D212" s="25"/>
      <c r="F212" t="str">
        <f t="shared" si="3"/>
        <v/>
      </c>
    </row>
    <row r="213" spans="1:6" x14ac:dyDescent="0.3">
      <c r="A213" s="5"/>
      <c r="B213" s="7"/>
      <c r="C213" s="28"/>
      <c r="D213" s="25"/>
      <c r="F213" t="str">
        <f t="shared" si="3"/>
        <v/>
      </c>
    </row>
    <row r="214" spans="1:6" x14ac:dyDescent="0.3">
      <c r="A214" s="5"/>
      <c r="B214" s="7"/>
      <c r="C214" s="28"/>
      <c r="D214" s="25"/>
      <c r="F214" t="str">
        <f t="shared" si="3"/>
        <v/>
      </c>
    </row>
    <row r="215" spans="1:6" x14ac:dyDescent="0.3">
      <c r="A215" s="5"/>
      <c r="B215" s="7"/>
      <c r="C215" s="28"/>
      <c r="D215" s="25"/>
      <c r="F215" t="str">
        <f t="shared" si="3"/>
        <v/>
      </c>
    </row>
    <row r="216" spans="1:6" x14ac:dyDescent="0.3">
      <c r="A216" s="5"/>
      <c r="B216" s="7"/>
      <c r="C216" s="28"/>
      <c r="D216" s="25"/>
      <c r="F216" t="str">
        <f t="shared" si="3"/>
        <v/>
      </c>
    </row>
    <row r="217" spans="1:6" x14ac:dyDescent="0.3">
      <c r="A217" s="5"/>
      <c r="B217" s="7"/>
      <c r="C217" s="28"/>
      <c r="D217" s="25"/>
      <c r="F217" t="str">
        <f t="shared" si="3"/>
        <v/>
      </c>
    </row>
    <row r="218" spans="1:6" x14ac:dyDescent="0.3">
      <c r="A218" s="5"/>
      <c r="B218" s="7"/>
      <c r="C218" s="28"/>
      <c r="D218" s="25"/>
      <c r="F218" t="str">
        <f t="shared" si="3"/>
        <v/>
      </c>
    </row>
    <row r="219" spans="1:6" x14ac:dyDescent="0.3">
      <c r="A219" s="5"/>
      <c r="B219" s="7"/>
      <c r="C219" s="28"/>
      <c r="D219" s="25"/>
      <c r="F219" t="str">
        <f t="shared" si="3"/>
        <v/>
      </c>
    </row>
    <row r="220" spans="1:6" x14ac:dyDescent="0.3">
      <c r="A220" s="5"/>
      <c r="B220" s="7"/>
      <c r="C220" s="28"/>
      <c r="D220" s="25"/>
      <c r="F220" t="str">
        <f t="shared" si="3"/>
        <v/>
      </c>
    </row>
    <row r="221" spans="1:6" x14ac:dyDescent="0.3">
      <c r="A221" s="5"/>
      <c r="B221" s="7"/>
      <c r="C221" s="28"/>
      <c r="D221" s="25"/>
      <c r="F221" t="str">
        <f t="shared" si="3"/>
        <v/>
      </c>
    </row>
    <row r="222" spans="1:6" x14ac:dyDescent="0.3">
      <c r="A222" s="5"/>
      <c r="B222" s="7"/>
      <c r="C222" s="28"/>
      <c r="D222" s="25"/>
      <c r="F222" t="str">
        <f t="shared" si="3"/>
        <v/>
      </c>
    </row>
    <row r="223" spans="1:6" x14ac:dyDescent="0.3">
      <c r="A223" s="5"/>
      <c r="B223" s="7"/>
      <c r="C223" s="28"/>
      <c r="D223" s="25"/>
      <c r="F223" t="str">
        <f t="shared" si="3"/>
        <v/>
      </c>
    </row>
    <row r="224" spans="1:6" x14ac:dyDescent="0.3">
      <c r="A224" s="5"/>
      <c r="B224" s="7"/>
      <c r="C224" s="28"/>
      <c r="D224" s="25"/>
      <c r="F224" t="str">
        <f t="shared" si="3"/>
        <v/>
      </c>
    </row>
    <row r="225" spans="1:6" x14ac:dyDescent="0.3">
      <c r="A225" s="5"/>
      <c r="B225" s="7"/>
      <c r="C225" s="28"/>
      <c r="D225" s="25"/>
      <c r="F225" t="str">
        <f t="shared" si="3"/>
        <v/>
      </c>
    </row>
    <row r="226" spans="1:6" x14ac:dyDescent="0.3">
      <c r="A226" s="5"/>
      <c r="B226" s="7"/>
      <c r="C226" s="28"/>
      <c r="D226" s="25"/>
      <c r="F226" t="str">
        <f t="shared" si="3"/>
        <v/>
      </c>
    </row>
    <row r="227" spans="1:6" x14ac:dyDescent="0.3">
      <c r="A227" s="5"/>
      <c r="B227" s="7"/>
      <c r="C227" s="28"/>
      <c r="D227" s="25"/>
      <c r="F227" t="str">
        <f t="shared" si="3"/>
        <v/>
      </c>
    </row>
    <row r="228" spans="1:6" x14ac:dyDescent="0.3">
      <c r="A228" s="5"/>
      <c r="B228" s="7"/>
      <c r="C228" s="28"/>
      <c r="D228" s="25"/>
      <c r="F228" t="str">
        <f t="shared" si="3"/>
        <v/>
      </c>
    </row>
    <row r="229" spans="1:6" x14ac:dyDescent="0.3">
      <c r="A229" s="5"/>
      <c r="B229" s="7"/>
      <c r="C229" s="28"/>
      <c r="D229" s="25"/>
      <c r="F229" t="str">
        <f t="shared" si="3"/>
        <v/>
      </c>
    </row>
    <row r="230" spans="1:6" x14ac:dyDescent="0.3">
      <c r="A230" s="5"/>
      <c r="B230" s="7"/>
      <c r="C230" s="28"/>
      <c r="D230" s="25"/>
      <c r="F230" t="str">
        <f t="shared" si="3"/>
        <v/>
      </c>
    </row>
    <row r="231" spans="1:6" x14ac:dyDescent="0.3">
      <c r="A231" s="5"/>
      <c r="B231" s="7"/>
      <c r="C231" s="28"/>
      <c r="D231" s="25"/>
      <c r="F231" t="str">
        <f t="shared" si="3"/>
        <v/>
      </c>
    </row>
    <row r="232" spans="1:6" x14ac:dyDescent="0.3">
      <c r="A232" s="5"/>
      <c r="B232" s="7"/>
      <c r="C232" s="28"/>
      <c r="D232" s="25"/>
      <c r="F232" t="str">
        <f t="shared" si="3"/>
        <v/>
      </c>
    </row>
    <row r="233" spans="1:6" x14ac:dyDescent="0.3">
      <c r="A233" s="5"/>
      <c r="B233" s="7"/>
      <c r="C233" s="28"/>
      <c r="D233" s="25"/>
      <c r="F233" t="str">
        <f t="shared" si="3"/>
        <v/>
      </c>
    </row>
    <row r="234" spans="1:6" x14ac:dyDescent="0.3">
      <c r="A234" s="5"/>
      <c r="B234" s="7"/>
      <c r="C234" s="28"/>
      <c r="D234" s="25"/>
      <c r="F234" t="str">
        <f t="shared" si="3"/>
        <v/>
      </c>
    </row>
    <row r="235" spans="1:6" x14ac:dyDescent="0.3">
      <c r="A235" s="5"/>
      <c r="B235" s="7"/>
      <c r="C235" s="28"/>
      <c r="D235" s="25"/>
      <c r="F235" t="str">
        <f t="shared" si="3"/>
        <v/>
      </c>
    </row>
    <row r="236" spans="1:6" x14ac:dyDescent="0.3">
      <c r="A236" s="5"/>
      <c r="B236" s="7"/>
      <c r="C236" s="28"/>
      <c r="D236" s="25"/>
      <c r="F236" t="str">
        <f t="shared" si="3"/>
        <v/>
      </c>
    </row>
    <row r="237" spans="1:6" x14ac:dyDescent="0.3">
      <c r="A237" s="5"/>
      <c r="B237" s="7"/>
      <c r="C237" s="28"/>
      <c r="D237" s="25"/>
      <c r="F237" t="str">
        <f t="shared" si="3"/>
        <v/>
      </c>
    </row>
    <row r="238" spans="1:6" x14ac:dyDescent="0.3">
      <c r="A238" s="5"/>
      <c r="B238" s="7"/>
      <c r="C238" s="28"/>
      <c r="D238" s="25"/>
      <c r="F238" t="str">
        <f t="shared" si="3"/>
        <v/>
      </c>
    </row>
    <row r="239" spans="1:6" x14ac:dyDescent="0.3">
      <c r="A239" s="5"/>
      <c r="B239" s="7"/>
      <c r="C239" s="28"/>
      <c r="D239" s="25"/>
      <c r="F239" t="str">
        <f t="shared" si="3"/>
        <v/>
      </c>
    </row>
    <row r="240" spans="1:6" x14ac:dyDescent="0.3">
      <c r="A240" s="5"/>
      <c r="B240" s="7"/>
      <c r="C240" s="28"/>
      <c r="D240" s="25"/>
      <c r="F240" t="str">
        <f t="shared" si="3"/>
        <v/>
      </c>
    </row>
    <row r="241" spans="1:6" x14ac:dyDescent="0.3">
      <c r="A241" s="5"/>
      <c r="B241" s="7"/>
      <c r="C241" s="28"/>
      <c r="D241" s="25"/>
      <c r="F241" t="str">
        <f t="shared" si="3"/>
        <v/>
      </c>
    </row>
    <row r="242" spans="1:6" x14ac:dyDescent="0.3">
      <c r="A242" s="5"/>
      <c r="B242" s="7"/>
      <c r="C242" s="28"/>
      <c r="D242" s="25"/>
      <c r="F242" t="str">
        <f t="shared" si="3"/>
        <v/>
      </c>
    </row>
    <row r="243" spans="1:6" x14ac:dyDescent="0.3">
      <c r="A243" s="5"/>
      <c r="B243" s="7"/>
      <c r="C243" s="28"/>
      <c r="D243" s="25"/>
      <c r="F243" t="str">
        <f t="shared" si="3"/>
        <v/>
      </c>
    </row>
    <row r="244" spans="1:6" x14ac:dyDescent="0.3">
      <c r="A244" s="5"/>
      <c r="B244" s="7"/>
      <c r="C244" s="28"/>
      <c r="D244" s="25"/>
      <c r="F244" t="str">
        <f t="shared" si="3"/>
        <v/>
      </c>
    </row>
    <row r="245" spans="1:6" x14ac:dyDescent="0.3">
      <c r="A245" s="5"/>
      <c r="B245" s="7"/>
      <c r="C245" s="28"/>
      <c r="D245" s="25"/>
      <c r="F245" t="str">
        <f t="shared" si="3"/>
        <v/>
      </c>
    </row>
    <row r="246" spans="1:6" x14ac:dyDescent="0.3">
      <c r="A246" s="5"/>
      <c r="B246" s="7"/>
      <c r="C246" s="28"/>
      <c r="D246" s="25"/>
      <c r="F246" t="str">
        <f t="shared" si="3"/>
        <v/>
      </c>
    </row>
    <row r="247" spans="1:6" x14ac:dyDescent="0.3">
      <c r="A247" s="5"/>
      <c r="B247" s="7"/>
      <c r="C247" s="28"/>
      <c r="D247" s="25"/>
      <c r="F247" t="str">
        <f t="shared" si="3"/>
        <v/>
      </c>
    </row>
    <row r="248" spans="1:6" x14ac:dyDescent="0.3">
      <c r="A248" s="5"/>
      <c r="B248" s="7"/>
      <c r="C248" s="28"/>
      <c r="D248" s="25"/>
      <c r="F248" t="str">
        <f t="shared" si="3"/>
        <v/>
      </c>
    </row>
    <row r="249" spans="1:6" x14ac:dyDescent="0.3">
      <c r="A249" s="5"/>
      <c r="B249" s="7"/>
      <c r="C249" s="28"/>
      <c r="D249" s="25"/>
      <c r="F249" t="str">
        <f t="shared" si="3"/>
        <v/>
      </c>
    </row>
    <row r="250" spans="1:6" x14ac:dyDescent="0.3">
      <c r="A250" s="5"/>
      <c r="B250" s="7"/>
      <c r="C250" s="28"/>
      <c r="D250" s="25"/>
      <c r="F250" t="str">
        <f t="shared" si="3"/>
        <v/>
      </c>
    </row>
    <row r="251" spans="1:6" x14ac:dyDescent="0.3">
      <c r="A251" s="5"/>
      <c r="B251" s="7"/>
      <c r="C251" s="28"/>
      <c r="D251" s="25"/>
      <c r="F251" t="str">
        <f t="shared" si="3"/>
        <v/>
      </c>
    </row>
    <row r="252" spans="1:6" x14ac:dyDescent="0.3">
      <c r="A252" s="5"/>
      <c r="B252" s="7"/>
      <c r="C252" s="28"/>
      <c r="D252" s="25"/>
      <c r="F252" t="str">
        <f t="shared" si="3"/>
        <v/>
      </c>
    </row>
    <row r="253" spans="1:6" x14ac:dyDescent="0.3">
      <c r="A253" s="5"/>
      <c r="B253" s="7"/>
      <c r="C253" s="28"/>
      <c r="D253" s="25"/>
      <c r="F253" t="str">
        <f t="shared" si="3"/>
        <v/>
      </c>
    </row>
    <row r="254" spans="1:6" x14ac:dyDescent="0.3">
      <c r="A254" s="5"/>
      <c r="B254" s="7"/>
      <c r="C254" s="28"/>
      <c r="D254" s="25"/>
      <c r="F254" t="str">
        <f t="shared" si="3"/>
        <v/>
      </c>
    </row>
    <row r="255" spans="1:6" x14ac:dyDescent="0.3">
      <c r="A255" s="5"/>
      <c r="B255" s="7"/>
      <c r="C255" s="28"/>
      <c r="D255" s="25"/>
      <c r="F255" t="str">
        <f t="shared" si="3"/>
        <v/>
      </c>
    </row>
    <row r="256" spans="1:6" x14ac:dyDescent="0.3">
      <c r="A256" s="5"/>
      <c r="B256" s="7"/>
      <c r="C256" s="28"/>
      <c r="D256" s="25"/>
      <c r="F256" t="str">
        <f t="shared" si="3"/>
        <v/>
      </c>
    </row>
    <row r="257" spans="1:6" x14ac:dyDescent="0.3">
      <c r="A257" s="5"/>
      <c r="B257" s="7"/>
      <c r="C257" s="28"/>
      <c r="D257" s="25"/>
      <c r="F257" t="str">
        <f t="shared" ref="F257:F299" si="4">IF(A257&lt;&gt;"",MONTH(A257),"")</f>
        <v/>
      </c>
    </row>
    <row r="258" spans="1:6" x14ac:dyDescent="0.3">
      <c r="A258" s="5"/>
      <c r="B258" s="7"/>
      <c r="C258" s="28"/>
      <c r="D258" s="25"/>
      <c r="F258" t="str">
        <f t="shared" si="4"/>
        <v/>
      </c>
    </row>
    <row r="259" spans="1:6" x14ac:dyDescent="0.3">
      <c r="A259" s="5"/>
      <c r="B259" s="7"/>
      <c r="C259" s="28"/>
      <c r="D259" s="25"/>
      <c r="F259" t="str">
        <f t="shared" si="4"/>
        <v/>
      </c>
    </row>
    <row r="260" spans="1:6" x14ac:dyDescent="0.3">
      <c r="A260" s="5"/>
      <c r="B260" s="7"/>
      <c r="C260" s="28"/>
      <c r="D260" s="25"/>
      <c r="F260" t="str">
        <f t="shared" si="4"/>
        <v/>
      </c>
    </row>
    <row r="261" spans="1:6" x14ac:dyDescent="0.3">
      <c r="A261" s="5"/>
      <c r="B261" s="7"/>
      <c r="C261" s="28"/>
      <c r="D261" s="25"/>
      <c r="F261" t="str">
        <f t="shared" si="4"/>
        <v/>
      </c>
    </row>
    <row r="262" spans="1:6" x14ac:dyDescent="0.3">
      <c r="A262" s="5"/>
      <c r="B262" s="7"/>
      <c r="C262" s="28"/>
      <c r="D262" s="25"/>
      <c r="F262" t="str">
        <f t="shared" si="4"/>
        <v/>
      </c>
    </row>
    <row r="263" spans="1:6" x14ac:dyDescent="0.3">
      <c r="A263" s="5"/>
      <c r="B263" s="7"/>
      <c r="C263" s="28"/>
      <c r="D263" s="25"/>
      <c r="F263" t="str">
        <f t="shared" si="4"/>
        <v/>
      </c>
    </row>
    <row r="264" spans="1:6" x14ac:dyDescent="0.3">
      <c r="A264" s="5"/>
      <c r="B264" s="7"/>
      <c r="C264" s="28"/>
      <c r="D264" s="25"/>
      <c r="F264" t="str">
        <f t="shared" si="4"/>
        <v/>
      </c>
    </row>
    <row r="265" spans="1:6" x14ac:dyDescent="0.3">
      <c r="A265" s="5"/>
      <c r="B265" s="7"/>
      <c r="C265" s="28"/>
      <c r="D265" s="25"/>
      <c r="F265" t="str">
        <f t="shared" si="4"/>
        <v/>
      </c>
    </row>
    <row r="266" spans="1:6" x14ac:dyDescent="0.3">
      <c r="A266" s="5"/>
      <c r="B266" s="7"/>
      <c r="C266" s="28"/>
      <c r="D266" s="25"/>
      <c r="F266" t="str">
        <f t="shared" si="4"/>
        <v/>
      </c>
    </row>
    <row r="267" spans="1:6" x14ac:dyDescent="0.3">
      <c r="A267" s="5"/>
      <c r="B267" s="7"/>
      <c r="C267" s="28"/>
      <c r="D267" s="25"/>
      <c r="F267" t="str">
        <f t="shared" si="4"/>
        <v/>
      </c>
    </row>
    <row r="268" spans="1:6" x14ac:dyDescent="0.3">
      <c r="A268" s="5"/>
      <c r="B268" s="7"/>
      <c r="C268" s="28"/>
      <c r="D268" s="25"/>
      <c r="F268" t="str">
        <f t="shared" si="4"/>
        <v/>
      </c>
    </row>
    <row r="269" spans="1:6" x14ac:dyDescent="0.3">
      <c r="A269" s="5"/>
      <c r="B269" s="7"/>
      <c r="C269" s="28"/>
      <c r="D269" s="25"/>
      <c r="F269" t="str">
        <f t="shared" si="4"/>
        <v/>
      </c>
    </row>
    <row r="270" spans="1:6" x14ac:dyDescent="0.3">
      <c r="A270" s="5"/>
      <c r="B270" s="7"/>
      <c r="C270" s="28"/>
      <c r="D270" s="25"/>
      <c r="F270" t="str">
        <f t="shared" si="4"/>
        <v/>
      </c>
    </row>
    <row r="271" spans="1:6" x14ac:dyDescent="0.3">
      <c r="A271" s="5"/>
      <c r="B271" s="7"/>
      <c r="C271" s="28"/>
      <c r="D271" s="25"/>
      <c r="F271" t="str">
        <f t="shared" si="4"/>
        <v/>
      </c>
    </row>
    <row r="272" spans="1:6" x14ac:dyDescent="0.3">
      <c r="A272" s="5"/>
      <c r="B272" s="7"/>
      <c r="C272" s="28"/>
      <c r="D272" s="25"/>
      <c r="F272" t="str">
        <f t="shared" si="4"/>
        <v/>
      </c>
    </row>
    <row r="273" spans="1:6" x14ac:dyDescent="0.3">
      <c r="A273" s="5"/>
      <c r="B273" s="7"/>
      <c r="C273" s="28"/>
      <c r="D273" s="25"/>
      <c r="F273" t="str">
        <f t="shared" si="4"/>
        <v/>
      </c>
    </row>
    <row r="274" spans="1:6" x14ac:dyDescent="0.3">
      <c r="A274" s="5"/>
      <c r="B274" s="7"/>
      <c r="C274" s="28"/>
      <c r="D274" s="25"/>
      <c r="F274" t="str">
        <f t="shared" si="4"/>
        <v/>
      </c>
    </row>
    <row r="275" spans="1:6" x14ac:dyDescent="0.3">
      <c r="A275" s="5"/>
      <c r="B275" s="7"/>
      <c r="C275" s="28"/>
      <c r="D275" s="25"/>
      <c r="F275" t="str">
        <f t="shared" si="4"/>
        <v/>
      </c>
    </row>
    <row r="276" spans="1:6" x14ac:dyDescent="0.3">
      <c r="A276" s="5"/>
      <c r="B276" s="7"/>
      <c r="C276" s="28"/>
      <c r="D276" s="25"/>
      <c r="F276" t="str">
        <f t="shared" si="4"/>
        <v/>
      </c>
    </row>
    <row r="277" spans="1:6" x14ac:dyDescent="0.3">
      <c r="A277" s="5"/>
      <c r="B277" s="7"/>
      <c r="C277" s="28"/>
      <c r="D277" s="25"/>
      <c r="F277" t="str">
        <f t="shared" si="4"/>
        <v/>
      </c>
    </row>
    <row r="278" spans="1:6" x14ac:dyDescent="0.3">
      <c r="A278" s="5"/>
      <c r="B278" s="7"/>
      <c r="C278" s="28"/>
      <c r="D278" s="25"/>
      <c r="F278" t="str">
        <f t="shared" si="4"/>
        <v/>
      </c>
    </row>
    <row r="279" spans="1:6" x14ac:dyDescent="0.3">
      <c r="A279" s="5"/>
      <c r="B279" s="7"/>
      <c r="C279" s="28"/>
      <c r="D279" s="25"/>
      <c r="F279" t="str">
        <f t="shared" si="4"/>
        <v/>
      </c>
    </row>
    <row r="280" spans="1:6" x14ac:dyDescent="0.3">
      <c r="A280" s="5"/>
      <c r="B280" s="7"/>
      <c r="C280" s="28"/>
      <c r="D280" s="25"/>
      <c r="F280" t="str">
        <f t="shared" si="4"/>
        <v/>
      </c>
    </row>
    <row r="281" spans="1:6" x14ac:dyDescent="0.3">
      <c r="A281" s="5"/>
      <c r="B281" s="7"/>
      <c r="C281" s="28"/>
      <c r="D281" s="25"/>
      <c r="F281" t="str">
        <f t="shared" si="4"/>
        <v/>
      </c>
    </row>
    <row r="282" spans="1:6" x14ac:dyDescent="0.3">
      <c r="A282" s="5"/>
      <c r="B282" s="7"/>
      <c r="C282" s="28"/>
      <c r="D282" s="25"/>
      <c r="F282" t="str">
        <f t="shared" si="4"/>
        <v/>
      </c>
    </row>
    <row r="283" spans="1:6" x14ac:dyDescent="0.3">
      <c r="A283" s="5"/>
      <c r="B283" s="7"/>
      <c r="C283" s="28"/>
      <c r="D283" s="25"/>
      <c r="F283" t="str">
        <f t="shared" si="4"/>
        <v/>
      </c>
    </row>
    <row r="284" spans="1:6" x14ac:dyDescent="0.3">
      <c r="A284" s="5"/>
      <c r="B284" s="7"/>
      <c r="C284" s="28"/>
      <c r="D284" s="25"/>
      <c r="F284" t="str">
        <f t="shared" si="4"/>
        <v/>
      </c>
    </row>
    <row r="285" spans="1:6" x14ac:dyDescent="0.3">
      <c r="A285" s="5"/>
      <c r="B285" s="7"/>
      <c r="C285" s="28"/>
      <c r="D285" s="25"/>
      <c r="F285" t="str">
        <f t="shared" si="4"/>
        <v/>
      </c>
    </row>
    <row r="286" spans="1:6" x14ac:dyDescent="0.3">
      <c r="A286" s="5"/>
      <c r="B286" s="7"/>
      <c r="C286" s="28"/>
      <c r="D286" s="25"/>
      <c r="F286" t="str">
        <f t="shared" si="4"/>
        <v/>
      </c>
    </row>
    <row r="287" spans="1:6" x14ac:dyDescent="0.3">
      <c r="A287" s="5"/>
      <c r="B287" s="7"/>
      <c r="C287" s="28"/>
      <c r="D287" s="25"/>
      <c r="F287" t="str">
        <f t="shared" si="4"/>
        <v/>
      </c>
    </row>
    <row r="288" spans="1:6" x14ac:dyDescent="0.3">
      <c r="A288" s="5"/>
      <c r="B288" s="7"/>
      <c r="C288" s="28"/>
      <c r="D288" s="25"/>
      <c r="F288" t="str">
        <f t="shared" si="4"/>
        <v/>
      </c>
    </row>
    <row r="289" spans="1:6" x14ac:dyDescent="0.3">
      <c r="A289" s="5"/>
      <c r="B289" s="7"/>
      <c r="C289" s="28"/>
      <c r="D289" s="25"/>
      <c r="F289" t="str">
        <f t="shared" si="4"/>
        <v/>
      </c>
    </row>
    <row r="290" spans="1:6" x14ac:dyDescent="0.3">
      <c r="A290" s="5"/>
      <c r="B290" s="7"/>
      <c r="C290" s="28"/>
      <c r="D290" s="25"/>
      <c r="F290" t="str">
        <f t="shared" si="4"/>
        <v/>
      </c>
    </row>
    <row r="291" spans="1:6" x14ac:dyDescent="0.3">
      <c r="A291" s="5"/>
      <c r="B291" s="7"/>
      <c r="C291" s="28"/>
      <c r="D291" s="25"/>
      <c r="F291" t="str">
        <f t="shared" si="4"/>
        <v/>
      </c>
    </row>
    <row r="292" spans="1:6" x14ac:dyDescent="0.3">
      <c r="A292" s="5"/>
      <c r="B292" s="7"/>
      <c r="C292" s="28"/>
      <c r="D292" s="25"/>
      <c r="F292" t="str">
        <f t="shared" si="4"/>
        <v/>
      </c>
    </row>
    <row r="293" spans="1:6" x14ac:dyDescent="0.3">
      <c r="A293" s="5"/>
      <c r="B293" s="7"/>
      <c r="C293" s="28"/>
      <c r="D293" s="25"/>
      <c r="F293" t="str">
        <f t="shared" si="4"/>
        <v/>
      </c>
    </row>
    <row r="294" spans="1:6" x14ac:dyDescent="0.3">
      <c r="A294" s="5"/>
      <c r="B294" s="7"/>
      <c r="C294" s="28"/>
      <c r="D294" s="25"/>
      <c r="F294" t="str">
        <f t="shared" si="4"/>
        <v/>
      </c>
    </row>
    <row r="295" spans="1:6" x14ac:dyDescent="0.3">
      <c r="A295" s="5"/>
      <c r="B295" s="7"/>
      <c r="C295" s="28"/>
      <c r="D295" s="25"/>
      <c r="F295" t="str">
        <f t="shared" si="4"/>
        <v/>
      </c>
    </row>
    <row r="296" spans="1:6" x14ac:dyDescent="0.3">
      <c r="A296" s="5"/>
      <c r="B296" s="7"/>
      <c r="C296" s="28"/>
      <c r="D296" s="25"/>
      <c r="F296" t="str">
        <f t="shared" si="4"/>
        <v/>
      </c>
    </row>
    <row r="297" spans="1:6" x14ac:dyDescent="0.3">
      <c r="A297" s="5"/>
      <c r="B297" s="7"/>
      <c r="C297" s="28"/>
      <c r="D297" s="25"/>
      <c r="F297" t="str">
        <f t="shared" si="4"/>
        <v/>
      </c>
    </row>
    <row r="298" spans="1:6" x14ac:dyDescent="0.3">
      <c r="A298" s="5"/>
      <c r="B298" s="7"/>
      <c r="C298" s="28"/>
      <c r="D298" s="25"/>
      <c r="F298" t="str">
        <f t="shared" si="4"/>
        <v/>
      </c>
    </row>
    <row r="299" spans="1:6" x14ac:dyDescent="0.3">
      <c r="A299" s="5"/>
      <c r="B299" s="7"/>
      <c r="C299" s="28"/>
      <c r="D299" s="25"/>
      <c r="F299" t="str">
        <f t="shared" si="4"/>
        <v/>
      </c>
    </row>
    <row r="301" spans="1:6" x14ac:dyDescent="0.3">
      <c r="A301" s="21" t="s">
        <v>77</v>
      </c>
      <c r="D301" s="22">
        <f>SUM(D2:D299)</f>
        <v>27400</v>
      </c>
    </row>
    <row r="303" spans="1:6" x14ac:dyDescent="0.3">
      <c r="A303" s="21" t="s">
        <v>9</v>
      </c>
    </row>
    <row r="304" spans="1:6" x14ac:dyDescent="0.3">
      <c r="A304" s="30" t="s">
        <v>78</v>
      </c>
    </row>
  </sheetData>
  <dataValidations count="1">
    <dataValidation type="list" allowBlank="1" sqref="B2:B299" xr:uid="{00000000-0002-0000-0300-000000000000}">
      <formula1>"Mercancía / Inventario,Arriendo,Servicios (luz,agua,internet),Transporte,Empaques y envíos,Publicidad,Otros"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Ventas</vt:lpstr>
      <vt:lpstr>Resumen</vt:lpstr>
      <vt:lpstr>Compras y Pendientes</vt:lpstr>
      <vt:lpstr>Gastos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Osmar Daniel Ortiz Miranda</cp:lastModifiedBy>
  <cp:revision>0</cp:revision>
  <dcterms:created xsi:type="dcterms:W3CDTF">2026-09-13T16:53:10Z</dcterms:created>
  <dcterms:modified xsi:type="dcterms:W3CDTF">2026-09-20T01:32:47Z</dcterms:modified>
  <dc:language>en-US</dc:language>
</cp:coreProperties>
</file>