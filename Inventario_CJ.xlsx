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63e7e6710c11b9a/Algoritmos/negocio de CJ/"/>
    </mc:Choice>
  </mc:AlternateContent>
  <xr:revisionPtr revIDLastSave="42" documentId="11_32D7F77174205C2ECD3847EFE09E77DAE5544094" xr6:coauthVersionLast="47" xr6:coauthVersionMax="47" xr10:uidLastSave="{45E0BC35-9221-4FEE-845C-F0EC1FDD3C3F}"/>
  <bookViews>
    <workbookView xWindow="-108" yWindow="-108" windowWidth="23256" windowHeight="12456" tabRatio="464" xr2:uid="{00000000-000D-0000-FFFF-FFFF00000000}"/>
  </bookViews>
  <sheets>
    <sheet name="Inventario" sheetId="1" r:id="rId1"/>
    <sheet name="Resumen por producto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B6" i="2"/>
  <c r="I51" i="1"/>
  <c r="G51" i="1"/>
  <c r="H51" i="1" s="1"/>
  <c r="J51" i="1"/>
  <c r="J61" i="1"/>
  <c r="I61" i="1"/>
  <c r="G61" i="1"/>
  <c r="H61" i="1" s="1"/>
  <c r="G60" i="1"/>
  <c r="K60" i="1" s="1"/>
  <c r="G59" i="1"/>
  <c r="H59" i="1" s="1"/>
  <c r="I7" i="1"/>
  <c r="B19" i="2"/>
  <c r="B8" i="2"/>
  <c r="C65" i="1"/>
  <c r="B2" i="2"/>
  <c r="G64" i="1"/>
  <c r="K64" i="1" s="1"/>
  <c r="G36" i="1"/>
  <c r="H36" i="1" s="1"/>
  <c r="B14" i="2"/>
  <c r="G62" i="1"/>
  <c r="H62" i="1" s="1"/>
  <c r="G63" i="1"/>
  <c r="K63" i="1" s="1"/>
  <c r="H63" i="1"/>
  <c r="G35" i="1"/>
  <c r="K35" i="1" s="1"/>
  <c r="C12" i="2" s="1"/>
  <c r="B18" i="2"/>
  <c r="B17" i="2"/>
  <c r="B16" i="2"/>
  <c r="B15" i="2"/>
  <c r="B13" i="2"/>
  <c r="B12" i="2"/>
  <c r="B11" i="2"/>
  <c r="B10" i="2"/>
  <c r="B9" i="2"/>
  <c r="B7" i="2"/>
  <c r="B5" i="2"/>
  <c r="B4" i="2"/>
  <c r="B3" i="2"/>
  <c r="J64" i="1"/>
  <c r="I64" i="1"/>
  <c r="J63" i="1"/>
  <c r="I63" i="1"/>
  <c r="J62" i="1"/>
  <c r="I62" i="1"/>
  <c r="J60" i="1"/>
  <c r="I60" i="1"/>
  <c r="J59" i="1"/>
  <c r="I59" i="1"/>
  <c r="J58" i="1"/>
  <c r="I58" i="1"/>
  <c r="G58" i="1"/>
  <c r="K58" i="1" s="1"/>
  <c r="J57" i="1"/>
  <c r="I57" i="1"/>
  <c r="G57" i="1"/>
  <c r="K57" i="1" s="1"/>
  <c r="J56" i="1"/>
  <c r="I56" i="1"/>
  <c r="G56" i="1"/>
  <c r="K56" i="1" s="1"/>
  <c r="J55" i="1"/>
  <c r="I55" i="1"/>
  <c r="G55" i="1"/>
  <c r="H55" i="1" s="1"/>
  <c r="J54" i="1"/>
  <c r="I54" i="1"/>
  <c r="G54" i="1"/>
  <c r="H54" i="1" s="1"/>
  <c r="J53" i="1"/>
  <c r="I53" i="1"/>
  <c r="G53" i="1"/>
  <c r="K53" i="1" s="1"/>
  <c r="J52" i="1"/>
  <c r="I52" i="1"/>
  <c r="G52" i="1"/>
  <c r="H52" i="1" s="1"/>
  <c r="J50" i="1"/>
  <c r="I50" i="1"/>
  <c r="G50" i="1"/>
  <c r="H50" i="1" s="1"/>
  <c r="J49" i="1"/>
  <c r="I49" i="1"/>
  <c r="G49" i="1"/>
  <c r="K49" i="1" s="1"/>
  <c r="J48" i="1"/>
  <c r="I48" i="1"/>
  <c r="G48" i="1"/>
  <c r="K48" i="1" s="1"/>
  <c r="J47" i="1"/>
  <c r="I47" i="1"/>
  <c r="G47" i="1"/>
  <c r="K47" i="1" s="1"/>
  <c r="J46" i="1"/>
  <c r="I46" i="1"/>
  <c r="G46" i="1"/>
  <c r="K46" i="1" s="1"/>
  <c r="J45" i="1"/>
  <c r="I45" i="1"/>
  <c r="G45" i="1"/>
  <c r="H45" i="1" s="1"/>
  <c r="J44" i="1"/>
  <c r="I44" i="1"/>
  <c r="G44" i="1"/>
  <c r="K44" i="1" s="1"/>
  <c r="J43" i="1"/>
  <c r="I43" i="1"/>
  <c r="G43" i="1"/>
  <c r="K43" i="1" s="1"/>
  <c r="J42" i="1"/>
  <c r="I42" i="1"/>
  <c r="G42" i="1"/>
  <c r="H42" i="1" s="1"/>
  <c r="J41" i="1"/>
  <c r="I41" i="1"/>
  <c r="G41" i="1"/>
  <c r="K41" i="1" s="1"/>
  <c r="C14" i="2" s="1"/>
  <c r="J40" i="1"/>
  <c r="I40" i="1"/>
  <c r="G40" i="1"/>
  <c r="K40" i="1" s="1"/>
  <c r="J39" i="1"/>
  <c r="I39" i="1"/>
  <c r="G39" i="1"/>
  <c r="K39" i="1" s="1"/>
  <c r="J38" i="1"/>
  <c r="I38" i="1"/>
  <c r="G38" i="1"/>
  <c r="H38" i="1" s="1"/>
  <c r="J37" i="1"/>
  <c r="I37" i="1"/>
  <c r="G37" i="1"/>
  <c r="H37" i="1" s="1"/>
  <c r="J36" i="1"/>
  <c r="I36" i="1"/>
  <c r="J35" i="1"/>
  <c r="I35" i="1"/>
  <c r="J34" i="1"/>
  <c r="I34" i="1"/>
  <c r="G34" i="1"/>
  <c r="H34" i="1" s="1"/>
  <c r="J33" i="1"/>
  <c r="I33" i="1"/>
  <c r="G33" i="1"/>
  <c r="K33" i="1" s="1"/>
  <c r="J32" i="1"/>
  <c r="I32" i="1"/>
  <c r="G32" i="1"/>
  <c r="K32" i="1" s="1"/>
  <c r="J31" i="1"/>
  <c r="I31" i="1"/>
  <c r="G31" i="1"/>
  <c r="K31" i="1" s="1"/>
  <c r="J30" i="1"/>
  <c r="I30" i="1"/>
  <c r="G30" i="1"/>
  <c r="K30" i="1" s="1"/>
  <c r="J29" i="1"/>
  <c r="I29" i="1"/>
  <c r="G29" i="1"/>
  <c r="K29" i="1" s="1"/>
  <c r="J28" i="1"/>
  <c r="I28" i="1"/>
  <c r="G28" i="1"/>
  <c r="K28" i="1" s="1"/>
  <c r="J27" i="1"/>
  <c r="I27" i="1"/>
  <c r="G27" i="1"/>
  <c r="K27" i="1" s="1"/>
  <c r="J26" i="1"/>
  <c r="I26" i="1"/>
  <c r="G26" i="1"/>
  <c r="H26" i="1" s="1"/>
  <c r="J25" i="1"/>
  <c r="I25" i="1"/>
  <c r="G25" i="1"/>
  <c r="H25" i="1" s="1"/>
  <c r="J24" i="1"/>
  <c r="I24" i="1"/>
  <c r="G24" i="1"/>
  <c r="H24" i="1" s="1"/>
  <c r="J23" i="1"/>
  <c r="I23" i="1"/>
  <c r="G23" i="1"/>
  <c r="K23" i="1" s="1"/>
  <c r="J22" i="1"/>
  <c r="I22" i="1"/>
  <c r="G22" i="1"/>
  <c r="H22" i="1" s="1"/>
  <c r="J21" i="1"/>
  <c r="I21" i="1"/>
  <c r="G21" i="1"/>
  <c r="H21" i="1" s="1"/>
  <c r="J20" i="1"/>
  <c r="I20" i="1"/>
  <c r="G20" i="1"/>
  <c r="K20" i="1" s="1"/>
  <c r="J19" i="1"/>
  <c r="I19" i="1"/>
  <c r="G19" i="1"/>
  <c r="H19" i="1" s="1"/>
  <c r="J18" i="1"/>
  <c r="I18" i="1"/>
  <c r="G18" i="1"/>
  <c r="H18" i="1" s="1"/>
  <c r="J17" i="1"/>
  <c r="I17" i="1"/>
  <c r="G17" i="1"/>
  <c r="H17" i="1" s="1"/>
  <c r="J16" i="1"/>
  <c r="I16" i="1"/>
  <c r="G16" i="1"/>
  <c r="K16" i="1" s="1"/>
  <c r="J15" i="1"/>
  <c r="I15" i="1"/>
  <c r="G15" i="1"/>
  <c r="H15" i="1" s="1"/>
  <c r="J14" i="1"/>
  <c r="I14" i="1"/>
  <c r="G14" i="1"/>
  <c r="K14" i="1" s="1"/>
  <c r="J13" i="1"/>
  <c r="I13" i="1"/>
  <c r="G13" i="1"/>
  <c r="K13" i="1" s="1"/>
  <c r="J12" i="1"/>
  <c r="I12" i="1"/>
  <c r="G12" i="1"/>
  <c r="H12" i="1" s="1"/>
  <c r="J11" i="1"/>
  <c r="I11" i="1"/>
  <c r="G11" i="1"/>
  <c r="K11" i="1" s="1"/>
  <c r="J10" i="1"/>
  <c r="I10" i="1"/>
  <c r="G10" i="1"/>
  <c r="H10" i="1" s="1"/>
  <c r="J9" i="1"/>
  <c r="I9" i="1"/>
  <c r="G9" i="1"/>
  <c r="K9" i="1" s="1"/>
  <c r="J8" i="1"/>
  <c r="I8" i="1"/>
  <c r="G8" i="1"/>
  <c r="K8" i="1" s="1"/>
  <c r="J7" i="1"/>
  <c r="G7" i="1"/>
  <c r="K7" i="1" s="1"/>
  <c r="J6" i="1"/>
  <c r="I6" i="1"/>
  <c r="G6" i="1"/>
  <c r="H6" i="1" s="1"/>
  <c r="J5" i="1"/>
  <c r="I5" i="1"/>
  <c r="G5" i="1"/>
  <c r="H5" i="1" s="1"/>
  <c r="J4" i="1"/>
  <c r="I4" i="1"/>
  <c r="G4" i="1"/>
  <c r="K4" i="1" s="1"/>
  <c r="J3" i="1"/>
  <c r="I3" i="1"/>
  <c r="G3" i="1"/>
  <c r="H3" i="1" s="1"/>
  <c r="J2" i="1"/>
  <c r="I2" i="1"/>
  <c r="G2" i="1"/>
  <c r="H2" i="1" s="1"/>
  <c r="K51" i="1" l="1"/>
  <c r="K62" i="1"/>
  <c r="J67" i="1"/>
  <c r="H57" i="1"/>
  <c r="C10" i="2"/>
  <c r="K61" i="1"/>
  <c r="H64" i="1"/>
  <c r="H58" i="1"/>
  <c r="H53" i="1"/>
  <c r="C5" i="2"/>
  <c r="K6" i="1"/>
  <c r="C3" i="2" s="1"/>
  <c r="I67" i="1"/>
  <c r="K2" i="1"/>
  <c r="B20" i="2"/>
  <c r="K36" i="1"/>
  <c r="C13" i="2" s="1"/>
  <c r="H56" i="1"/>
  <c r="H60" i="1"/>
  <c r="K19" i="1"/>
  <c r="K15" i="1"/>
  <c r="K3" i="1"/>
  <c r="H7" i="1"/>
  <c r="K24" i="1"/>
  <c r="H4" i="1"/>
  <c r="H8" i="1"/>
  <c r="K18" i="1"/>
  <c r="K21" i="1"/>
  <c r="H31" i="1"/>
  <c r="H20" i="1"/>
  <c r="H23" i="1"/>
  <c r="K22" i="1"/>
  <c r="K5" i="1"/>
  <c r="H47" i="1"/>
  <c r="K52" i="1"/>
  <c r="H35" i="1"/>
  <c r="K34" i="1"/>
  <c r="C11" i="2" s="1"/>
  <c r="K54" i="1"/>
  <c r="K38" i="1"/>
  <c r="K50" i="1"/>
  <c r="C16" i="2" s="1"/>
  <c r="K55" i="1"/>
  <c r="C19" i="2"/>
  <c r="H40" i="1"/>
  <c r="H39" i="1"/>
  <c r="K37" i="1"/>
  <c r="H13" i="1"/>
  <c r="H14" i="1"/>
  <c r="H30" i="1"/>
  <c r="H46" i="1"/>
  <c r="H11" i="1"/>
  <c r="H27" i="1"/>
  <c r="H43" i="1"/>
  <c r="H16" i="1"/>
  <c r="K25" i="1"/>
  <c r="K45" i="1"/>
  <c r="K10" i="1"/>
  <c r="H33" i="1"/>
  <c r="K17" i="1"/>
  <c r="H28" i="1"/>
  <c r="K12" i="1"/>
  <c r="K26" i="1"/>
  <c r="K42" i="1"/>
  <c r="H49" i="1"/>
  <c r="K59" i="1"/>
  <c r="C18" i="2" s="1"/>
  <c r="H9" i="1"/>
  <c r="H41" i="1"/>
  <c r="H44" i="1"/>
  <c r="H29" i="1"/>
  <c r="H32" i="1"/>
  <c r="H48" i="1"/>
  <c r="C17" i="2" l="1"/>
  <c r="C2" i="2"/>
  <c r="K65" i="1"/>
  <c r="C8" i="2"/>
  <c r="C7" i="2"/>
  <c r="C9" i="2"/>
  <c r="C15" i="2"/>
  <c r="C4" i="2"/>
  <c r="C20" i="2" l="1"/>
</calcChain>
</file>

<file path=xl/sharedStrings.xml><?xml version="1.0" encoding="utf-8"?>
<sst xmlns="http://schemas.openxmlformats.org/spreadsheetml/2006/main" count="176" uniqueCount="46">
  <si>
    <t>Producto</t>
  </si>
  <si>
    <t>Talla</t>
  </si>
  <si>
    <t>Cantidad disponible</t>
  </si>
  <si>
    <t>Notas</t>
  </si>
  <si>
    <t>Precio costo</t>
  </si>
  <si>
    <t>Precio venta</t>
  </si>
  <si>
    <t>Margen ($)</t>
  </si>
  <si>
    <t>Margen (%)</t>
  </si>
  <si>
    <t>Valor inventario (costo)</t>
  </si>
  <si>
    <t>Valor inventario (venta)</t>
  </si>
  <si>
    <t>Ganancia potencial</t>
  </si>
  <si>
    <t>Polo negro</t>
  </si>
  <si>
    <t>S</t>
  </si>
  <si>
    <t>XL</t>
  </si>
  <si>
    <t>m</t>
  </si>
  <si>
    <t xml:space="preserve">agotado, en un futuro </t>
  </si>
  <si>
    <t>L</t>
  </si>
  <si>
    <t>Polo Blanco</t>
  </si>
  <si>
    <t>M</t>
  </si>
  <si>
    <t>Set Rojo</t>
  </si>
  <si>
    <t>Camisa + Pantalón</t>
  </si>
  <si>
    <t>Set Beige</t>
  </si>
  <si>
    <t>Set corto negro</t>
  </si>
  <si>
    <t>Set Negro</t>
  </si>
  <si>
    <t>Set corto Beige</t>
  </si>
  <si>
    <t>Set Blanco</t>
  </si>
  <si>
    <t>Urbano Fit</t>
  </si>
  <si>
    <t>Set corto Blanco + Beige</t>
  </si>
  <si>
    <t>XXL</t>
  </si>
  <si>
    <t>Polo albaricoque</t>
  </si>
  <si>
    <t>Pantalón caqui</t>
  </si>
  <si>
    <t>30</t>
  </si>
  <si>
    <t>31</t>
  </si>
  <si>
    <t>32</t>
  </si>
  <si>
    <t>Camisetas negro</t>
  </si>
  <si>
    <t>NO, HA LLEGADO</t>
  </si>
  <si>
    <t>Camisetas Azul oscuro</t>
  </si>
  <si>
    <t>Pantalón negro</t>
  </si>
  <si>
    <t>Camiseta Vinotinto</t>
  </si>
  <si>
    <t>TOTAL GENERAL</t>
  </si>
  <si>
    <t>Cómo usar las columnas nuevas:</t>
  </si>
  <si>
    <t>Escribe el "Precio costo" (lo que te costó la prenda) y el "Precio venta" (a como la vendes) en cada fila, en azul. El margen y las ganancias se calculan solos.</t>
  </si>
  <si>
    <t>Total disponible</t>
  </si>
  <si>
    <t xml:space="preserve"> </t>
  </si>
  <si>
    <t>Camiseta Gris</t>
  </si>
  <si>
    <t>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</si>
</sst>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color rgb="FF0000FF"/>
      <name val="Arial"/>
      <family val="2"/>
    </font>
    <font>
      <sz val="11"/>
      <name val="Arial"/>
      <family val="2"/>
      <charset val="1"/>
    </font>
    <font>
      <i/>
      <sz val="10"/>
      <color rgb="FFC00000"/>
      <name val="Arial"/>
      <family val="2"/>
    </font>
    <font>
      <sz val="11"/>
      <color theme="0"/>
      <name val="Arial"/>
      <family val="2"/>
      <charset val="1"/>
    </font>
    <font>
      <sz val="11"/>
      <color theme="0"/>
      <name val="Calibri"/>
      <family val="2"/>
      <charset val="1"/>
    </font>
    <font>
      <b/>
      <sz val="11"/>
      <name val="Arial"/>
      <family val="2"/>
    </font>
    <font>
      <i/>
      <sz val="10"/>
      <name val="Arial"/>
      <family val="2"/>
    </font>
    <font>
      <sz val="8"/>
      <name val="Calibri"/>
      <family val="2"/>
      <charset val="1"/>
    </font>
  </fonts>
  <fills count="21">
    <fill>
      <patternFill patternType="none"/>
    </fill>
    <fill>
      <patternFill patternType="gray125"/>
    </fill>
    <fill>
      <patternFill patternType="solid">
        <fgColor rgb="FF2F5496"/>
        <bgColor rgb="FF376092"/>
      </patternFill>
    </fill>
    <fill>
      <patternFill patternType="solid">
        <fgColor theme="0" tint="-0.249977111117893"/>
        <bgColor rgb="FFB7B7B7"/>
      </patternFill>
    </fill>
    <fill>
      <patternFill patternType="solid">
        <fgColor theme="2" tint="-9.9978637043366805E-2"/>
        <bgColor rgb="FFF2DCDB"/>
      </patternFill>
    </fill>
    <fill>
      <patternFill patternType="solid">
        <fgColor theme="5" tint="0.79989013336588644"/>
        <bgColor rgb="FFDDD9C3"/>
      </patternFill>
    </fill>
    <fill>
      <patternFill patternType="solid">
        <fgColor theme="7" tint="0.59987182226020086"/>
        <bgColor rgb="FFBFBFBF"/>
      </patternFill>
    </fill>
    <fill>
      <patternFill patternType="solid">
        <fgColor theme="9" tint="0.59987182226020086"/>
        <bgColor rgb="FFF2DCDB"/>
      </patternFill>
    </fill>
    <fill>
      <patternFill patternType="solid">
        <fgColor theme="8" tint="0.79989013336588644"/>
        <bgColor rgb="FFCCFFFF"/>
      </patternFill>
    </fill>
    <fill>
      <patternFill patternType="solid">
        <fgColor theme="6"/>
        <bgColor rgb="FFA6A6A6"/>
      </patternFill>
    </fill>
    <fill>
      <patternFill patternType="solid">
        <fgColor theme="9" tint="-0.249977111117893"/>
        <bgColor rgb="FFFF9900"/>
      </patternFill>
    </fill>
    <fill>
      <patternFill patternType="solid">
        <fgColor theme="8" tint="0.39988402966399123"/>
        <bgColor rgb="FFBFBFBF"/>
      </patternFill>
    </fill>
    <fill>
      <patternFill patternType="solid">
        <fgColor rgb="FFFF0000"/>
        <bgColor rgb="FFC00000"/>
      </patternFill>
    </fill>
    <fill>
      <patternFill patternType="solid">
        <fgColor rgb="FF0070C0"/>
        <bgColor rgb="FF008080"/>
      </patternFill>
    </fill>
    <fill>
      <patternFill patternType="solid">
        <fgColor theme="0" tint="-0.34998626667073579"/>
        <bgColor rgb="FFB7B7B7"/>
      </patternFill>
    </fill>
    <fill>
      <patternFill patternType="solid">
        <fgColor rgb="FFFFC000"/>
        <bgColor rgb="FFFF9900"/>
      </patternFill>
    </fill>
    <fill>
      <patternFill patternType="solid">
        <fgColor theme="2" tint="-0.499984740745262"/>
        <bgColor rgb="FF808000"/>
      </patternFill>
    </fill>
    <fill>
      <patternFill patternType="solid">
        <fgColor rgb="FF7030A0"/>
        <bgColor rgb="FF993366"/>
      </patternFill>
    </fill>
    <fill>
      <patternFill patternType="solid">
        <fgColor theme="9" tint="-0.499984740745262"/>
        <bgColor rgb="FF993366"/>
      </patternFill>
    </fill>
    <fill>
      <patternFill patternType="solid">
        <fgColor theme="4" tint="-0.249977111117893"/>
        <bgColor rgb="FF2F5496"/>
      </patternFill>
    </fill>
    <fill>
      <patternFill patternType="solid">
        <fgColor theme="5"/>
        <bgColor rgb="FF808000"/>
      </patternFill>
    </fill>
  </fills>
  <borders count="6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left" vertical="center" wrapText="1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left" vertical="center" wrapText="1"/>
    </xf>
    <xf numFmtId="0" fontId="2" fillId="15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left" vertical="center" wrapText="1"/>
    </xf>
    <xf numFmtId="0" fontId="0" fillId="16" borderId="2" xfId="0" applyFont="1" applyFill="1" applyBorder="1" applyAlignment="1">
      <alignment horizontal="center" vertical="center"/>
    </xf>
    <xf numFmtId="0" fontId="0" fillId="16" borderId="2" xfId="0" applyFill="1" applyBorder="1" applyAlignment="1"/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center" vertical="center"/>
    </xf>
    <xf numFmtId="0" fontId="4" fillId="17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center" vertical="center"/>
    </xf>
    <xf numFmtId="0" fontId="4" fillId="18" borderId="1" xfId="0" applyFont="1" applyFill="1" applyBorder="1" applyAlignment="1">
      <alignment horizontal="left" vertical="center" wrapText="1"/>
    </xf>
    <xf numFmtId="0" fontId="0" fillId="18" borderId="0" xfId="0" applyFill="1" applyAlignment="1">
      <alignment horizontal="center" vertical="center"/>
    </xf>
    <xf numFmtId="0" fontId="2" fillId="18" borderId="4" xfId="0" applyFont="1" applyFill="1" applyBorder="1" applyAlignment="1">
      <alignment horizontal="left" vertical="center" wrapText="1"/>
    </xf>
    <xf numFmtId="0" fontId="4" fillId="18" borderId="4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7" fillId="19" borderId="2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left" vertical="center" wrapText="1"/>
    </xf>
    <xf numFmtId="0" fontId="0" fillId="19" borderId="2" xfId="0" applyFill="1" applyBorder="1" applyAlignment="1">
      <alignment horizontal="center" vertical="center"/>
    </xf>
    <xf numFmtId="0" fontId="8" fillId="0" borderId="1" xfId="0" applyFont="1" applyBorder="1" applyAlignment="1"/>
    <xf numFmtId="0" fontId="0" fillId="0" borderId="1" xfId="0" applyBorder="1" applyAlignment="1"/>
    <xf numFmtId="0" fontId="8" fillId="0" borderId="1" xfId="0" applyFont="1" applyBorder="1" applyAlignment="1">
      <alignment horizontal="center" vertical="center"/>
    </xf>
    <xf numFmtId="164" fontId="8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1" xfId="0" applyFont="1" applyBorder="1" applyAlignment="1"/>
    <xf numFmtId="0" fontId="2" fillId="0" borderId="1" xfId="0" applyFont="1" applyBorder="1" applyAlignment="1">
      <alignment horizontal="center" vertical="center"/>
    </xf>
    <xf numFmtId="164" fontId="8" fillId="0" borderId="1" xfId="0" applyNumberFormat="1" applyFont="1" applyBorder="1"/>
    <xf numFmtId="164" fontId="3" fillId="0" borderId="5" xfId="0" applyNumberFormat="1" applyFont="1" applyBorder="1" applyAlignment="1">
      <alignment horizontal="center" vertical="center"/>
    </xf>
    <xf numFmtId="0" fontId="2" fillId="15" borderId="4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left" vertical="center" wrapText="1"/>
    </xf>
    <xf numFmtId="0" fontId="2" fillId="17" borderId="3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/>
    </xf>
    <xf numFmtId="0" fontId="2" fillId="16" borderId="2" xfId="0" applyFont="1" applyFill="1" applyBorder="1" applyAlignment="1">
      <alignment horizontal="center" vertical="center"/>
    </xf>
    <xf numFmtId="0" fontId="2" fillId="16" borderId="2" xfId="0" applyFont="1" applyFill="1" applyBorder="1" applyAlignment="1">
      <alignment horizontal="left" vertical="center" wrapText="1"/>
    </xf>
    <xf numFmtId="0" fontId="0" fillId="16" borderId="2" xfId="0" applyFill="1" applyBorder="1" applyAlignment="1">
      <alignment horizontal="center" vertical="center"/>
    </xf>
    <xf numFmtId="0" fontId="0" fillId="15" borderId="0" xfId="0" applyFill="1" applyAlignment="1">
      <alignment horizontal="center"/>
    </xf>
    <xf numFmtId="0" fontId="6" fillId="20" borderId="0" xfId="0" applyFont="1" applyFill="1" applyBorder="1" applyAlignment="1">
      <alignment horizontal="left" vertical="center" wrapText="1"/>
    </xf>
    <xf numFmtId="0" fontId="2" fillId="20" borderId="0" xfId="0" applyFont="1" applyFill="1" applyBorder="1" applyAlignment="1">
      <alignment horizontal="center" vertical="center"/>
    </xf>
    <xf numFmtId="0" fontId="2" fillId="20" borderId="0" xfId="0" applyFont="1" applyFill="1" applyBorder="1" applyAlignment="1">
      <alignment horizontal="left" vertical="center" wrapText="1"/>
    </xf>
    <xf numFmtId="0" fontId="2" fillId="2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948A54"/>
      <rgbColor rgb="FF9999FF"/>
      <rgbColor rgb="FF7030A0"/>
      <rgbColor rgb="FFF2DCDB"/>
      <rgbColor rgb="FFDBEEF4"/>
      <rgbColor rgb="FF660066"/>
      <rgbColor rgb="FFFF8080"/>
      <rgbColor rgb="FF0070C0"/>
      <rgbColor rgb="FFCCC1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9C3"/>
      <rgbColor rgb="FFFFFF99"/>
      <rgbColor rgb="FF93CDDD"/>
      <rgbColor rgb="FFFF99CC"/>
      <rgbColor rgb="FFB7B7B7"/>
      <rgbColor rgb="FFFCD5B5"/>
      <rgbColor rgb="FF3366FF"/>
      <rgbColor rgb="FF33CCCC"/>
      <rgbColor rgb="FF9BBB59"/>
      <rgbColor rgb="FFFFC000"/>
      <rgbColor rgb="FFFF9900"/>
      <rgbColor rgb="FFE46C0A"/>
      <rgbColor rgb="FF376092"/>
      <rgbColor rgb="FFA6A6A6"/>
      <rgbColor rgb="FF003366"/>
      <rgbColor rgb="FF339966"/>
      <rgbColor rgb="FF003300"/>
      <rgbColor rgb="FF333300"/>
      <rgbColor rgb="FF984807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8"/>
  <sheetViews>
    <sheetView tabSelected="1" zoomScaleNormal="100" workbookViewId="0">
      <pane ySplit="1" topLeftCell="A42" activePane="bottomLeft" state="frozen"/>
      <selection pane="bottomLeft" activeCell="D44" sqref="D44:D46"/>
    </sheetView>
  </sheetViews>
  <sheetFormatPr baseColWidth="10" defaultColWidth="8.6640625" defaultRowHeight="14.4" x14ac:dyDescent="0.3"/>
  <cols>
    <col min="1" max="1" width="28" style="1" customWidth="1"/>
    <col min="2" max="2" width="10" style="1" customWidth="1"/>
    <col min="3" max="3" width="20" style="1" customWidth="1"/>
    <col min="4" max="4" width="45" style="1" customWidth="1"/>
    <col min="5" max="6" width="14" customWidth="1"/>
    <col min="7" max="7" width="13" customWidth="1"/>
    <col min="8" max="8" width="12.88671875" customWidth="1"/>
    <col min="9" max="9" width="23.88671875" customWidth="1"/>
    <col min="10" max="10" width="24.77734375" customWidth="1"/>
    <col min="11" max="11" width="19.77734375" customWidth="1"/>
  </cols>
  <sheetData>
    <row r="1" spans="1:11" ht="20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14.25" customHeight="1" x14ac:dyDescent="0.3">
      <c r="A2" s="3" t="s">
        <v>11</v>
      </c>
      <c r="B2" s="4" t="s">
        <v>12</v>
      </c>
      <c r="C2" s="4">
        <v>3</v>
      </c>
      <c r="D2" s="3"/>
      <c r="E2" s="5">
        <v>25000</v>
      </c>
      <c r="F2" s="5">
        <v>60000</v>
      </c>
      <c r="G2" s="6">
        <f t="shared" ref="G2:G33" si="0">IF(AND(E2&lt;&gt;"",F2&lt;&gt;""),F2-E2,"")</f>
        <v>35000</v>
      </c>
      <c r="H2" s="7">
        <f t="shared" ref="H2:H33" si="1">IF(AND(G2&lt;&gt;"",F2&lt;&gt;"",F2&lt;&gt;0),G2/F2,"")</f>
        <v>0.58333333333333337</v>
      </c>
      <c r="I2" s="6">
        <f t="shared" ref="I2:I33" si="2">IF(AND(C2&lt;&gt;"",E2&lt;&gt;""),C2*E2,"")</f>
        <v>75000</v>
      </c>
      <c r="J2" s="6">
        <f t="shared" ref="J2:J33" si="3">IF(AND(C2&lt;&gt;"",F2&lt;&gt;""),C2*F2,"")</f>
        <v>180000</v>
      </c>
      <c r="K2" s="6">
        <f>IF(AND(C2&lt;&gt;"",G2&lt;&gt;""),C2*G2,"")</f>
        <v>105000</v>
      </c>
    </row>
    <row r="3" spans="1:11" ht="18.75" customHeight="1" x14ac:dyDescent="0.3">
      <c r="A3" s="3" t="s">
        <v>11</v>
      </c>
      <c r="B3" s="4" t="s">
        <v>13</v>
      </c>
      <c r="C3" s="4">
        <v>3</v>
      </c>
      <c r="D3" s="3"/>
      <c r="E3" s="5">
        <v>25000</v>
      </c>
      <c r="F3" s="5">
        <v>60000</v>
      </c>
      <c r="G3" s="6">
        <f t="shared" si="0"/>
        <v>35000</v>
      </c>
      <c r="H3" s="7">
        <f t="shared" si="1"/>
        <v>0.58333333333333337</v>
      </c>
      <c r="I3" s="6">
        <f t="shared" si="2"/>
        <v>75000</v>
      </c>
      <c r="J3" s="6">
        <f t="shared" si="3"/>
        <v>180000</v>
      </c>
      <c r="K3" s="6">
        <f t="shared" ref="K3:K33" si="4">IF(AND(C3&lt;&gt;"",G3&lt;&gt;""),C3*G3,"")</f>
        <v>105000</v>
      </c>
    </row>
    <row r="4" spans="1:11" ht="18.75" customHeight="1" x14ac:dyDescent="0.3">
      <c r="A4" s="3" t="s">
        <v>11</v>
      </c>
      <c r="B4" s="8" t="s">
        <v>14</v>
      </c>
      <c r="C4" s="4"/>
      <c r="D4" s="9" t="s">
        <v>15</v>
      </c>
      <c r="E4" s="5">
        <v>25000</v>
      </c>
      <c r="F4" s="5">
        <v>60000</v>
      </c>
      <c r="G4" s="6">
        <f t="shared" si="0"/>
        <v>35000</v>
      </c>
      <c r="H4" s="7">
        <f t="shared" si="1"/>
        <v>0.58333333333333337</v>
      </c>
      <c r="I4" s="6" t="str">
        <f t="shared" si="2"/>
        <v/>
      </c>
      <c r="J4" s="6" t="str">
        <f t="shared" si="3"/>
        <v/>
      </c>
      <c r="K4" s="6" t="str">
        <f t="shared" si="4"/>
        <v/>
      </c>
    </row>
    <row r="5" spans="1:11" ht="14.25" customHeight="1" x14ac:dyDescent="0.3">
      <c r="A5" s="3" t="s">
        <v>11</v>
      </c>
      <c r="B5" s="4" t="s">
        <v>16</v>
      </c>
      <c r="C5" s="4">
        <v>1</v>
      </c>
      <c r="D5" s="3"/>
      <c r="E5" s="5">
        <v>25000</v>
      </c>
      <c r="F5" s="5">
        <v>60000</v>
      </c>
      <c r="G5" s="6">
        <f t="shared" si="0"/>
        <v>35000</v>
      </c>
      <c r="H5" s="7">
        <f t="shared" si="1"/>
        <v>0.58333333333333337</v>
      </c>
      <c r="I5" s="6">
        <f t="shared" si="2"/>
        <v>25000</v>
      </c>
      <c r="J5" s="6">
        <f t="shared" si="3"/>
        <v>60000</v>
      </c>
      <c r="K5" s="6">
        <f t="shared" si="4"/>
        <v>35000</v>
      </c>
    </row>
    <row r="6" spans="1:11" ht="14.25" customHeight="1" x14ac:dyDescent="0.3">
      <c r="A6" s="10" t="s">
        <v>17</v>
      </c>
      <c r="B6" s="11" t="s">
        <v>13</v>
      </c>
      <c r="C6" s="11">
        <v>5</v>
      </c>
      <c r="D6" s="10"/>
      <c r="E6" s="5">
        <v>25000</v>
      </c>
      <c r="F6" s="5">
        <v>60000</v>
      </c>
      <c r="G6" s="6">
        <f t="shared" si="0"/>
        <v>35000</v>
      </c>
      <c r="H6" s="7">
        <f t="shared" si="1"/>
        <v>0.58333333333333337</v>
      </c>
      <c r="I6" s="6">
        <f t="shared" si="2"/>
        <v>125000</v>
      </c>
      <c r="J6" s="6">
        <f t="shared" si="3"/>
        <v>300000</v>
      </c>
      <c r="K6" s="6">
        <f t="shared" si="4"/>
        <v>175000</v>
      </c>
    </row>
    <row r="7" spans="1:11" ht="14.25" customHeight="1" x14ac:dyDescent="0.3">
      <c r="A7" s="12" t="s">
        <v>17</v>
      </c>
      <c r="B7" s="11" t="s">
        <v>16</v>
      </c>
      <c r="C7" s="11">
        <v>0</v>
      </c>
      <c r="D7" s="12" t="s">
        <v>15</v>
      </c>
      <c r="E7" s="5">
        <v>25000</v>
      </c>
      <c r="F7" s="5">
        <v>60000</v>
      </c>
      <c r="G7" s="6">
        <f t="shared" si="0"/>
        <v>35000</v>
      </c>
      <c r="H7" s="7">
        <f t="shared" si="1"/>
        <v>0.58333333333333337</v>
      </c>
      <c r="I7" s="6">
        <f>IF(AND(C7&lt;&gt;"",E7&lt;&gt;""),C7*E7,"")</f>
        <v>0</v>
      </c>
      <c r="J7" s="6">
        <f t="shared" si="3"/>
        <v>0</v>
      </c>
      <c r="K7" s="6">
        <f t="shared" si="4"/>
        <v>0</v>
      </c>
    </row>
    <row r="8" spans="1:11" ht="14.25" customHeight="1" x14ac:dyDescent="0.3">
      <c r="A8" s="10" t="s">
        <v>17</v>
      </c>
      <c r="B8" s="11" t="s">
        <v>12</v>
      </c>
      <c r="C8" s="11">
        <v>2</v>
      </c>
      <c r="D8" s="12"/>
      <c r="E8" s="5">
        <v>25000</v>
      </c>
      <c r="F8" s="5">
        <v>60000</v>
      </c>
      <c r="G8" s="6">
        <f t="shared" si="0"/>
        <v>35000</v>
      </c>
      <c r="H8" s="7">
        <f t="shared" si="1"/>
        <v>0.58333333333333337</v>
      </c>
      <c r="I8" s="6">
        <f t="shared" si="2"/>
        <v>50000</v>
      </c>
      <c r="J8" s="6">
        <f t="shared" si="3"/>
        <v>120000</v>
      </c>
      <c r="K8" s="6">
        <f t="shared" si="4"/>
        <v>70000</v>
      </c>
    </row>
    <row r="9" spans="1:11" ht="23.25" customHeight="1" x14ac:dyDescent="0.3">
      <c r="A9" s="10" t="s">
        <v>17</v>
      </c>
      <c r="B9" s="11" t="s">
        <v>18</v>
      </c>
      <c r="C9" s="11">
        <v>5</v>
      </c>
      <c r="D9" s="13"/>
      <c r="E9" s="5">
        <v>25000</v>
      </c>
      <c r="F9" s="5">
        <v>60000</v>
      </c>
      <c r="G9" s="6">
        <f t="shared" si="0"/>
        <v>35000</v>
      </c>
      <c r="H9" s="7">
        <f t="shared" si="1"/>
        <v>0.58333333333333337</v>
      </c>
      <c r="I9" s="6">
        <f t="shared" si="2"/>
        <v>125000</v>
      </c>
      <c r="J9" s="6">
        <f t="shared" si="3"/>
        <v>300000</v>
      </c>
      <c r="K9" s="6">
        <f t="shared" si="4"/>
        <v>175000</v>
      </c>
    </row>
    <row r="10" spans="1:11" ht="14.25" customHeight="1" x14ac:dyDescent="0.3">
      <c r="A10" s="14" t="s">
        <v>19</v>
      </c>
      <c r="B10" s="15" t="s">
        <v>18</v>
      </c>
      <c r="C10" s="15">
        <v>1</v>
      </c>
      <c r="D10" s="14"/>
      <c r="E10" s="5">
        <v>25000</v>
      </c>
      <c r="F10" s="5">
        <v>100000</v>
      </c>
      <c r="G10" s="6">
        <f t="shared" si="0"/>
        <v>75000</v>
      </c>
      <c r="H10" s="7">
        <f t="shared" si="1"/>
        <v>0.75</v>
      </c>
      <c r="I10" s="6">
        <f t="shared" si="2"/>
        <v>25000</v>
      </c>
      <c r="J10" s="6">
        <f t="shared" si="3"/>
        <v>100000</v>
      </c>
      <c r="K10" s="6">
        <f t="shared" si="4"/>
        <v>75000</v>
      </c>
    </row>
    <row r="11" spans="1:11" ht="14.25" customHeight="1" x14ac:dyDescent="0.3">
      <c r="A11" s="14" t="s">
        <v>19</v>
      </c>
      <c r="B11" s="15" t="s">
        <v>16</v>
      </c>
      <c r="C11" s="15">
        <v>1</v>
      </c>
      <c r="D11" s="14"/>
      <c r="E11" s="5">
        <v>25000</v>
      </c>
      <c r="F11" s="5">
        <v>100000</v>
      </c>
      <c r="G11" s="6">
        <f t="shared" si="0"/>
        <v>75000</v>
      </c>
      <c r="H11" s="7">
        <f t="shared" si="1"/>
        <v>0.75</v>
      </c>
      <c r="I11" s="6">
        <f t="shared" si="2"/>
        <v>25000</v>
      </c>
      <c r="J11" s="6">
        <f t="shared" si="3"/>
        <v>100000</v>
      </c>
      <c r="K11" s="6">
        <f t="shared" si="4"/>
        <v>75000</v>
      </c>
    </row>
    <row r="12" spans="1:11" ht="12" customHeight="1" x14ac:dyDescent="0.3">
      <c r="A12" s="14" t="s">
        <v>19</v>
      </c>
      <c r="B12" s="15" t="s">
        <v>13</v>
      </c>
      <c r="C12" s="15">
        <v>1</v>
      </c>
      <c r="D12" s="14"/>
      <c r="E12" s="5">
        <v>25000</v>
      </c>
      <c r="F12" s="5">
        <v>100000</v>
      </c>
      <c r="G12" s="6">
        <f t="shared" si="0"/>
        <v>75000</v>
      </c>
      <c r="H12" s="7">
        <f t="shared" si="1"/>
        <v>0.75</v>
      </c>
      <c r="I12" s="6">
        <f t="shared" si="2"/>
        <v>25000</v>
      </c>
      <c r="J12" s="6">
        <f t="shared" si="3"/>
        <v>100000</v>
      </c>
      <c r="K12" s="6">
        <f t="shared" si="4"/>
        <v>75000</v>
      </c>
    </row>
    <row r="13" spans="1:11" ht="14.25" customHeight="1" x14ac:dyDescent="0.3">
      <c r="A13" s="16" t="s">
        <v>20</v>
      </c>
      <c r="B13" s="17" t="s">
        <v>18</v>
      </c>
      <c r="C13" s="17">
        <v>0</v>
      </c>
      <c r="D13" s="16" t="s">
        <v>45</v>
      </c>
      <c r="E13" s="5">
        <v>47900</v>
      </c>
      <c r="F13" s="5">
        <v>100000</v>
      </c>
      <c r="G13" s="6">
        <f t="shared" si="0"/>
        <v>52100</v>
      </c>
      <c r="H13" s="7">
        <f t="shared" si="1"/>
        <v>0.52100000000000002</v>
      </c>
      <c r="I13" s="6">
        <f t="shared" si="2"/>
        <v>0</v>
      </c>
      <c r="J13" s="6">
        <f t="shared" si="3"/>
        <v>0</v>
      </c>
      <c r="K13" s="6">
        <f t="shared" si="4"/>
        <v>0</v>
      </c>
    </row>
    <row r="14" spans="1:11" ht="14.25" customHeight="1" x14ac:dyDescent="0.3">
      <c r="A14" s="16" t="s">
        <v>20</v>
      </c>
      <c r="B14" s="17" t="s">
        <v>16</v>
      </c>
      <c r="C14" s="17">
        <v>2</v>
      </c>
      <c r="D14" s="16"/>
      <c r="E14" s="5">
        <v>47900</v>
      </c>
      <c r="F14" s="5">
        <v>100000</v>
      </c>
      <c r="G14" s="6">
        <f t="shared" si="0"/>
        <v>52100</v>
      </c>
      <c r="H14" s="7">
        <f t="shared" si="1"/>
        <v>0.52100000000000002</v>
      </c>
      <c r="I14" s="6">
        <f t="shared" si="2"/>
        <v>95800</v>
      </c>
      <c r="J14" s="6">
        <f t="shared" si="3"/>
        <v>200000</v>
      </c>
      <c r="K14" s="6">
        <f t="shared" si="4"/>
        <v>104200</v>
      </c>
    </row>
    <row r="15" spans="1:11" ht="14.25" customHeight="1" x14ac:dyDescent="0.3">
      <c r="A15" s="18" t="s">
        <v>21</v>
      </c>
      <c r="B15" s="19" t="s">
        <v>13</v>
      </c>
      <c r="C15" s="19">
        <v>2</v>
      </c>
      <c r="D15" s="18"/>
      <c r="E15" s="5">
        <v>25000</v>
      </c>
      <c r="F15" s="5">
        <v>100000</v>
      </c>
      <c r="G15" s="6">
        <f t="shared" si="0"/>
        <v>75000</v>
      </c>
      <c r="H15" s="7">
        <f t="shared" si="1"/>
        <v>0.75</v>
      </c>
      <c r="I15" s="6">
        <f t="shared" si="2"/>
        <v>50000</v>
      </c>
      <c r="J15" s="6">
        <f t="shared" si="3"/>
        <v>200000</v>
      </c>
      <c r="K15" s="6">
        <f t="shared" si="4"/>
        <v>150000</v>
      </c>
    </row>
    <row r="16" spans="1:11" ht="14.25" customHeight="1" x14ac:dyDescent="0.3">
      <c r="A16" s="18" t="s">
        <v>21</v>
      </c>
      <c r="B16" s="20" t="s">
        <v>18</v>
      </c>
      <c r="C16" s="19">
        <v>0</v>
      </c>
      <c r="D16" s="21" t="s">
        <v>15</v>
      </c>
      <c r="E16" s="5">
        <v>25000</v>
      </c>
      <c r="F16" s="5">
        <v>100000</v>
      </c>
      <c r="G16" s="6">
        <f t="shared" si="0"/>
        <v>75000</v>
      </c>
      <c r="H16" s="7">
        <f t="shared" si="1"/>
        <v>0.75</v>
      </c>
      <c r="I16" s="6">
        <f t="shared" si="2"/>
        <v>0</v>
      </c>
      <c r="J16" s="6">
        <f t="shared" si="3"/>
        <v>0</v>
      </c>
      <c r="K16" s="6">
        <f t="shared" si="4"/>
        <v>0</v>
      </c>
    </row>
    <row r="17" spans="1:11" ht="14.25" customHeight="1" x14ac:dyDescent="0.3">
      <c r="A17" s="18" t="s">
        <v>21</v>
      </c>
      <c r="B17" s="20" t="s">
        <v>12</v>
      </c>
      <c r="C17" s="19">
        <v>0</v>
      </c>
      <c r="D17" s="21" t="s">
        <v>43</v>
      </c>
      <c r="E17" s="5">
        <v>25000</v>
      </c>
      <c r="F17" s="5">
        <v>100000</v>
      </c>
      <c r="G17" s="6">
        <f t="shared" si="0"/>
        <v>75000</v>
      </c>
      <c r="H17" s="7">
        <f t="shared" si="1"/>
        <v>0.75</v>
      </c>
      <c r="I17" s="6">
        <f t="shared" si="2"/>
        <v>0</v>
      </c>
      <c r="J17" s="6">
        <f t="shared" si="3"/>
        <v>0</v>
      </c>
      <c r="K17" s="6">
        <f t="shared" si="4"/>
        <v>0</v>
      </c>
    </row>
    <row r="18" spans="1:11" ht="14.25" customHeight="1" x14ac:dyDescent="0.3">
      <c r="A18" s="18" t="s">
        <v>21</v>
      </c>
      <c r="B18" s="19" t="s">
        <v>16</v>
      </c>
      <c r="C18" s="19">
        <v>2</v>
      </c>
      <c r="D18" s="18"/>
      <c r="E18" s="5">
        <v>25000</v>
      </c>
      <c r="F18" s="5">
        <v>100000</v>
      </c>
      <c r="G18" s="6">
        <f t="shared" si="0"/>
        <v>75000</v>
      </c>
      <c r="H18" s="7">
        <f t="shared" si="1"/>
        <v>0.75</v>
      </c>
      <c r="I18" s="6">
        <f t="shared" si="2"/>
        <v>50000</v>
      </c>
      <c r="J18" s="6">
        <f t="shared" si="3"/>
        <v>200000</v>
      </c>
      <c r="K18" s="6">
        <f t="shared" si="4"/>
        <v>150000</v>
      </c>
    </row>
    <row r="19" spans="1:11" ht="14.25" customHeight="1" x14ac:dyDescent="0.3">
      <c r="A19" s="22" t="s">
        <v>22</v>
      </c>
      <c r="B19" s="23" t="s">
        <v>18</v>
      </c>
      <c r="C19" s="23">
        <v>1</v>
      </c>
      <c r="D19" s="22"/>
      <c r="E19" s="5">
        <v>30000</v>
      </c>
      <c r="F19" s="5">
        <v>85000</v>
      </c>
      <c r="G19" s="6">
        <f t="shared" si="0"/>
        <v>55000</v>
      </c>
      <c r="H19" s="7">
        <f t="shared" si="1"/>
        <v>0.6470588235294118</v>
      </c>
      <c r="I19" s="6">
        <f t="shared" si="2"/>
        <v>30000</v>
      </c>
      <c r="J19" s="6">
        <f t="shared" si="3"/>
        <v>85000</v>
      </c>
      <c r="K19" s="6">
        <f t="shared" si="4"/>
        <v>55000</v>
      </c>
    </row>
    <row r="20" spans="1:11" ht="14.25" customHeight="1" x14ac:dyDescent="0.3">
      <c r="A20" s="22" t="s">
        <v>22</v>
      </c>
      <c r="B20" s="24" t="s">
        <v>12</v>
      </c>
      <c r="C20" s="23">
        <v>0</v>
      </c>
      <c r="D20" s="25" t="s">
        <v>15</v>
      </c>
      <c r="E20" s="5">
        <v>30000</v>
      </c>
      <c r="F20" s="5">
        <v>85000</v>
      </c>
      <c r="G20" s="6">
        <f t="shared" si="0"/>
        <v>55000</v>
      </c>
      <c r="H20" s="7">
        <f t="shared" si="1"/>
        <v>0.6470588235294118</v>
      </c>
      <c r="I20" s="6">
        <f t="shared" si="2"/>
        <v>0</v>
      </c>
      <c r="J20" s="6">
        <f t="shared" si="3"/>
        <v>0</v>
      </c>
      <c r="K20" s="6">
        <f t="shared" si="4"/>
        <v>0</v>
      </c>
    </row>
    <row r="21" spans="1:11" ht="14.25" customHeight="1" x14ac:dyDescent="0.3">
      <c r="A21" s="22" t="s">
        <v>22</v>
      </c>
      <c r="B21" s="24" t="s">
        <v>13</v>
      </c>
      <c r="C21" s="23">
        <v>0</v>
      </c>
      <c r="D21" s="25" t="s">
        <v>15</v>
      </c>
      <c r="E21" s="5">
        <v>30000</v>
      </c>
      <c r="F21" s="5">
        <v>85000</v>
      </c>
      <c r="G21" s="6">
        <f t="shared" si="0"/>
        <v>55000</v>
      </c>
      <c r="H21" s="7">
        <f t="shared" si="1"/>
        <v>0.6470588235294118</v>
      </c>
      <c r="I21" s="6">
        <f t="shared" si="2"/>
        <v>0</v>
      </c>
      <c r="J21" s="6">
        <f t="shared" si="3"/>
        <v>0</v>
      </c>
      <c r="K21" s="6">
        <f t="shared" si="4"/>
        <v>0</v>
      </c>
    </row>
    <row r="22" spans="1:11" ht="14.25" customHeight="1" x14ac:dyDescent="0.3">
      <c r="A22" s="22" t="s">
        <v>22</v>
      </c>
      <c r="B22" s="24" t="s">
        <v>16</v>
      </c>
      <c r="C22" s="23">
        <v>1</v>
      </c>
      <c r="D22" s="22"/>
      <c r="E22" s="5">
        <v>30000</v>
      </c>
      <c r="F22" s="5">
        <v>85000</v>
      </c>
      <c r="G22" s="6">
        <f t="shared" si="0"/>
        <v>55000</v>
      </c>
      <c r="H22" s="7">
        <f t="shared" si="1"/>
        <v>0.6470588235294118</v>
      </c>
      <c r="I22" s="6">
        <f t="shared" si="2"/>
        <v>30000</v>
      </c>
      <c r="J22" s="6">
        <f t="shared" si="3"/>
        <v>85000</v>
      </c>
      <c r="K22" s="6">
        <f t="shared" si="4"/>
        <v>55000</v>
      </c>
    </row>
    <row r="23" spans="1:11" ht="14.25" customHeight="1" x14ac:dyDescent="0.3">
      <c r="A23" s="26" t="s">
        <v>23</v>
      </c>
      <c r="B23" s="27" t="s">
        <v>16</v>
      </c>
      <c r="C23" s="27">
        <v>2</v>
      </c>
      <c r="D23" s="26"/>
      <c r="E23" s="5">
        <v>25000</v>
      </c>
      <c r="F23" s="5">
        <v>100000</v>
      </c>
      <c r="G23" s="6">
        <f t="shared" si="0"/>
        <v>75000</v>
      </c>
      <c r="H23" s="7">
        <f t="shared" si="1"/>
        <v>0.75</v>
      </c>
      <c r="I23" s="6">
        <f t="shared" si="2"/>
        <v>50000</v>
      </c>
      <c r="J23" s="6">
        <f t="shared" si="3"/>
        <v>200000</v>
      </c>
      <c r="K23" s="6">
        <f t="shared" si="4"/>
        <v>150000</v>
      </c>
    </row>
    <row r="24" spans="1:11" ht="14.25" customHeight="1" x14ac:dyDescent="0.3">
      <c r="A24" s="26" t="s">
        <v>23</v>
      </c>
      <c r="B24" s="27"/>
      <c r="C24" s="27"/>
      <c r="D24" s="26" t="s">
        <v>15</v>
      </c>
      <c r="E24" s="5">
        <v>25000</v>
      </c>
      <c r="F24" s="5">
        <v>100000</v>
      </c>
      <c r="G24" s="6">
        <f t="shared" si="0"/>
        <v>75000</v>
      </c>
      <c r="H24" s="7">
        <f t="shared" si="1"/>
        <v>0.75</v>
      </c>
      <c r="I24" s="6" t="str">
        <f t="shared" si="2"/>
        <v/>
      </c>
      <c r="J24" s="6" t="str">
        <f t="shared" si="3"/>
        <v/>
      </c>
      <c r="K24" s="6" t="str">
        <f t="shared" si="4"/>
        <v/>
      </c>
    </row>
    <row r="25" spans="1:11" ht="14.25" customHeight="1" x14ac:dyDescent="0.3">
      <c r="A25" s="26" t="s">
        <v>23</v>
      </c>
      <c r="B25" s="27"/>
      <c r="C25" s="27"/>
      <c r="D25" s="26" t="s">
        <v>15</v>
      </c>
      <c r="E25" s="5">
        <v>25000</v>
      </c>
      <c r="F25" s="5">
        <v>100000</v>
      </c>
      <c r="G25" s="6">
        <f t="shared" si="0"/>
        <v>75000</v>
      </c>
      <c r="H25" s="7">
        <f t="shared" si="1"/>
        <v>0.75</v>
      </c>
      <c r="I25" s="6" t="str">
        <f t="shared" si="2"/>
        <v/>
      </c>
      <c r="J25" s="6" t="str">
        <f t="shared" si="3"/>
        <v/>
      </c>
      <c r="K25" s="6" t="str">
        <f t="shared" si="4"/>
        <v/>
      </c>
    </row>
    <row r="26" spans="1:11" ht="14.25" customHeight="1" x14ac:dyDescent="0.3">
      <c r="A26" s="26" t="s">
        <v>23</v>
      </c>
      <c r="B26" s="27" t="s">
        <v>18</v>
      </c>
      <c r="C26" s="27">
        <v>1</v>
      </c>
      <c r="D26" s="26"/>
      <c r="E26" s="5">
        <v>25000</v>
      </c>
      <c r="F26" s="5">
        <v>100000</v>
      </c>
      <c r="G26" s="6">
        <f t="shared" si="0"/>
        <v>75000</v>
      </c>
      <c r="H26" s="7">
        <f t="shared" si="1"/>
        <v>0.75</v>
      </c>
      <c r="I26" s="6">
        <f t="shared" si="2"/>
        <v>25000</v>
      </c>
      <c r="J26" s="6">
        <f t="shared" si="3"/>
        <v>100000</v>
      </c>
      <c r="K26" s="6">
        <f t="shared" si="4"/>
        <v>75000</v>
      </c>
    </row>
    <row r="27" spans="1:11" ht="14.25" customHeight="1" x14ac:dyDescent="0.3">
      <c r="A27" s="28" t="s">
        <v>24</v>
      </c>
      <c r="B27" s="29" t="s">
        <v>18</v>
      </c>
      <c r="C27" s="29">
        <v>0</v>
      </c>
      <c r="D27" s="30"/>
      <c r="E27" s="5">
        <v>30000</v>
      </c>
      <c r="F27" s="5">
        <v>85000</v>
      </c>
      <c r="G27" s="6">
        <f t="shared" si="0"/>
        <v>55000</v>
      </c>
      <c r="H27" s="7">
        <f t="shared" si="1"/>
        <v>0.6470588235294118</v>
      </c>
      <c r="I27" s="6">
        <f t="shared" si="2"/>
        <v>0</v>
      </c>
      <c r="J27" s="6">
        <f t="shared" si="3"/>
        <v>0</v>
      </c>
      <c r="K27" s="6">
        <f t="shared" si="4"/>
        <v>0</v>
      </c>
    </row>
    <row r="28" spans="1:11" ht="14.25" customHeight="1" x14ac:dyDescent="0.3">
      <c r="A28" s="28" t="s">
        <v>24</v>
      </c>
      <c r="B28" s="29" t="s">
        <v>13</v>
      </c>
      <c r="C28" s="29">
        <v>0</v>
      </c>
      <c r="D28" s="30"/>
      <c r="E28" s="5">
        <v>30000</v>
      </c>
      <c r="F28" s="5">
        <v>85000</v>
      </c>
      <c r="G28" s="6">
        <f t="shared" si="0"/>
        <v>55000</v>
      </c>
      <c r="H28" s="7">
        <f t="shared" si="1"/>
        <v>0.6470588235294118</v>
      </c>
      <c r="I28" s="6">
        <f t="shared" si="2"/>
        <v>0</v>
      </c>
      <c r="J28" s="6">
        <f t="shared" si="3"/>
        <v>0</v>
      </c>
      <c r="K28" s="6">
        <f t="shared" si="4"/>
        <v>0</v>
      </c>
    </row>
    <row r="29" spans="1:11" ht="14.25" customHeight="1" x14ac:dyDescent="0.3">
      <c r="A29" s="28" t="s">
        <v>24</v>
      </c>
      <c r="B29" s="29" t="s">
        <v>12</v>
      </c>
      <c r="C29" s="29">
        <v>0</v>
      </c>
      <c r="D29" s="30"/>
      <c r="E29" s="5">
        <v>30000</v>
      </c>
      <c r="F29" s="5">
        <v>85000</v>
      </c>
      <c r="G29" s="6">
        <f t="shared" si="0"/>
        <v>55000</v>
      </c>
      <c r="H29" s="7">
        <f t="shared" si="1"/>
        <v>0.6470588235294118</v>
      </c>
      <c r="I29" s="6">
        <f t="shared" si="2"/>
        <v>0</v>
      </c>
      <c r="J29" s="6">
        <f t="shared" si="3"/>
        <v>0</v>
      </c>
      <c r="K29" s="6">
        <f t="shared" si="4"/>
        <v>0</v>
      </c>
    </row>
    <row r="30" spans="1:11" ht="14.25" customHeight="1" x14ac:dyDescent="0.3">
      <c r="A30" s="28" t="s">
        <v>24</v>
      </c>
      <c r="B30" s="29" t="s">
        <v>16</v>
      </c>
      <c r="C30" s="29">
        <v>2</v>
      </c>
      <c r="D30" s="30"/>
      <c r="E30" s="5">
        <v>30000</v>
      </c>
      <c r="F30" s="5">
        <v>85000</v>
      </c>
      <c r="G30" s="6">
        <f t="shared" si="0"/>
        <v>55000</v>
      </c>
      <c r="H30" s="7">
        <f t="shared" si="1"/>
        <v>0.6470588235294118</v>
      </c>
      <c r="I30" s="6">
        <f t="shared" si="2"/>
        <v>60000</v>
      </c>
      <c r="J30" s="6">
        <f t="shared" si="3"/>
        <v>170000</v>
      </c>
      <c r="K30" s="6">
        <f t="shared" si="4"/>
        <v>110000</v>
      </c>
    </row>
    <row r="31" spans="1:11" ht="14.25" customHeight="1" x14ac:dyDescent="0.3">
      <c r="A31" s="31" t="s">
        <v>25</v>
      </c>
      <c r="B31" s="32" t="s">
        <v>12</v>
      </c>
      <c r="C31" s="32">
        <v>2</v>
      </c>
      <c r="D31" s="31"/>
      <c r="E31" s="5">
        <v>25000</v>
      </c>
      <c r="F31" s="5">
        <v>100000</v>
      </c>
      <c r="G31" s="6">
        <f t="shared" si="0"/>
        <v>75000</v>
      </c>
      <c r="H31" s="7">
        <f t="shared" si="1"/>
        <v>0.75</v>
      </c>
      <c r="I31" s="6">
        <f t="shared" si="2"/>
        <v>50000</v>
      </c>
      <c r="J31" s="6">
        <f t="shared" si="3"/>
        <v>200000</v>
      </c>
      <c r="K31" s="6">
        <f t="shared" si="4"/>
        <v>150000</v>
      </c>
    </row>
    <row r="32" spans="1:11" ht="14.25" customHeight="1" x14ac:dyDescent="0.3">
      <c r="A32" s="31" t="s">
        <v>25</v>
      </c>
      <c r="B32" s="32" t="s">
        <v>18</v>
      </c>
      <c r="C32" s="32">
        <v>3</v>
      </c>
      <c r="D32" s="31"/>
      <c r="E32" s="5">
        <v>25000</v>
      </c>
      <c r="F32" s="5">
        <v>100000</v>
      </c>
      <c r="G32" s="6">
        <f t="shared" si="0"/>
        <v>75000</v>
      </c>
      <c r="H32" s="7">
        <f t="shared" si="1"/>
        <v>0.75</v>
      </c>
      <c r="I32" s="6">
        <f t="shared" si="2"/>
        <v>75000</v>
      </c>
      <c r="J32" s="6">
        <f t="shared" si="3"/>
        <v>300000</v>
      </c>
      <c r="K32" s="6">
        <f t="shared" si="4"/>
        <v>225000</v>
      </c>
    </row>
    <row r="33" spans="1:11" ht="14.25" customHeight="1" x14ac:dyDescent="0.3">
      <c r="A33" s="31" t="s">
        <v>25</v>
      </c>
      <c r="B33" s="32" t="s">
        <v>16</v>
      </c>
      <c r="C33" s="32">
        <v>2</v>
      </c>
      <c r="D33" s="31"/>
      <c r="E33" s="5">
        <v>25000</v>
      </c>
      <c r="F33" s="5">
        <v>100000</v>
      </c>
      <c r="G33" s="6">
        <f t="shared" si="0"/>
        <v>75000</v>
      </c>
      <c r="H33" s="7">
        <f t="shared" si="1"/>
        <v>0.75</v>
      </c>
      <c r="I33" s="6">
        <f t="shared" si="2"/>
        <v>50000</v>
      </c>
      <c r="J33" s="6">
        <f t="shared" si="3"/>
        <v>200000</v>
      </c>
      <c r="K33" s="6">
        <f t="shared" si="4"/>
        <v>150000</v>
      </c>
    </row>
    <row r="34" spans="1:11" ht="14.25" customHeight="1" x14ac:dyDescent="0.3">
      <c r="A34" s="31" t="s">
        <v>25</v>
      </c>
      <c r="B34" s="32" t="s">
        <v>13</v>
      </c>
      <c r="C34" s="32">
        <v>3</v>
      </c>
      <c r="D34" s="31"/>
      <c r="E34" s="5">
        <v>25000</v>
      </c>
      <c r="F34" s="5">
        <v>100000</v>
      </c>
      <c r="G34" s="6">
        <f t="shared" ref="G34:G54" si="5">IF(AND(E34&lt;&gt;"",F34&lt;&gt;""),F34-E34,"")</f>
        <v>75000</v>
      </c>
      <c r="H34" s="7">
        <f t="shared" ref="H34:H54" si="6">IF(AND(G34&lt;&gt;"",F34&lt;&gt;"",F34&lt;&gt;0),G34/F34,"")</f>
        <v>0.75</v>
      </c>
      <c r="I34" s="6">
        <f t="shared" ref="I34:I64" si="7">IF(AND(C34&lt;&gt;"",E34&lt;&gt;""),C34*E34,"")</f>
        <v>75000</v>
      </c>
      <c r="J34" s="6">
        <f t="shared" ref="J34:J64" si="8">IF(AND(C34&lt;&gt;"",F34&lt;&gt;""),C34*F34,"")</f>
        <v>300000</v>
      </c>
      <c r="K34" s="6">
        <f t="shared" ref="K34:K64" si="9">IF(AND(C34&lt;&gt;"",G34&lt;&gt;""),C34*G34,"")</f>
        <v>225000</v>
      </c>
    </row>
    <row r="35" spans="1:11" ht="14.25" customHeight="1" x14ac:dyDescent="0.3">
      <c r="A35" s="33" t="s">
        <v>26</v>
      </c>
      <c r="B35" s="34" t="s">
        <v>12</v>
      </c>
      <c r="C35" s="34">
        <v>1</v>
      </c>
      <c r="D35" s="33"/>
      <c r="E35" s="5">
        <v>35000</v>
      </c>
      <c r="F35" s="5">
        <v>85000</v>
      </c>
      <c r="G35" s="6">
        <f>IF(AND(E35&lt;&gt;"",F35&lt;&gt;""),F35-E35,"")</f>
        <v>50000</v>
      </c>
      <c r="H35" s="7">
        <f t="shared" si="6"/>
        <v>0.58823529411764708</v>
      </c>
      <c r="I35" s="6">
        <f>IF(AND(C35&lt;&gt;"",E35&lt;&gt;""),C35*E35,"")</f>
        <v>35000</v>
      </c>
      <c r="J35" s="6">
        <f t="shared" si="8"/>
        <v>85000</v>
      </c>
      <c r="K35" s="6">
        <f t="shared" si="9"/>
        <v>50000</v>
      </c>
    </row>
    <row r="36" spans="1:11" ht="14.25" customHeight="1" x14ac:dyDescent="0.3">
      <c r="A36" s="35" t="s">
        <v>27</v>
      </c>
      <c r="B36" s="36" t="s">
        <v>12</v>
      </c>
      <c r="C36" s="37">
        <v>0</v>
      </c>
      <c r="D36" s="38"/>
      <c r="E36" s="5">
        <v>28373</v>
      </c>
      <c r="F36" s="5">
        <v>85000</v>
      </c>
      <c r="G36" s="6">
        <f>IF(AND(E36&lt;&gt;"",F36&lt;&gt;""),F36-E36,"")</f>
        <v>56627</v>
      </c>
      <c r="H36" s="7">
        <f t="shared" si="6"/>
        <v>0.66620000000000001</v>
      </c>
      <c r="I36" s="6">
        <f>IF(AND(C36&lt;&gt;"",E36&lt;&gt;""),C36*E36,"")</f>
        <v>0</v>
      </c>
      <c r="J36" s="6">
        <f t="shared" si="8"/>
        <v>0</v>
      </c>
      <c r="K36" s="6">
        <f t="shared" si="9"/>
        <v>0</v>
      </c>
    </row>
    <row r="37" spans="1:11" ht="14.25" customHeight="1" x14ac:dyDescent="0.3">
      <c r="A37" s="35" t="s">
        <v>27</v>
      </c>
      <c r="B37" s="37" t="s">
        <v>13</v>
      </c>
      <c r="C37" s="37">
        <v>2</v>
      </c>
      <c r="D37" s="35"/>
      <c r="E37" s="5">
        <v>28373</v>
      </c>
      <c r="F37" s="5">
        <v>85000</v>
      </c>
      <c r="G37" s="6">
        <f>IF(AND(E37&lt;&gt;"",F37&lt;&gt;""),F37-E37,"")</f>
        <v>56627</v>
      </c>
      <c r="H37" s="7">
        <f t="shared" si="6"/>
        <v>0.66620000000000001</v>
      </c>
      <c r="I37" s="6">
        <f>IF(AND(C37&lt;&gt;"",E37&lt;&gt;""),C37*E37,"")</f>
        <v>56746</v>
      </c>
      <c r="J37" s="6">
        <f t="shared" si="8"/>
        <v>170000</v>
      </c>
      <c r="K37" s="6">
        <f t="shared" si="9"/>
        <v>113254</v>
      </c>
    </row>
    <row r="38" spans="1:11" ht="14.25" customHeight="1" x14ac:dyDescent="0.3">
      <c r="A38" s="35" t="s">
        <v>27</v>
      </c>
      <c r="B38" s="37" t="s">
        <v>16</v>
      </c>
      <c r="C38" s="37">
        <v>3</v>
      </c>
      <c r="D38" s="35"/>
      <c r="E38" s="5">
        <v>28373</v>
      </c>
      <c r="F38" s="5">
        <v>85000</v>
      </c>
      <c r="G38" s="6">
        <f t="shared" si="5"/>
        <v>56627</v>
      </c>
      <c r="H38" s="7">
        <f t="shared" si="6"/>
        <v>0.66620000000000001</v>
      </c>
      <c r="I38" s="6">
        <f t="shared" si="7"/>
        <v>85119</v>
      </c>
      <c r="J38" s="6">
        <f t="shared" si="8"/>
        <v>255000</v>
      </c>
      <c r="K38" s="6">
        <f t="shared" si="9"/>
        <v>169881</v>
      </c>
    </row>
    <row r="39" spans="1:11" ht="14.25" customHeight="1" x14ac:dyDescent="0.3">
      <c r="A39" s="35" t="s">
        <v>27</v>
      </c>
      <c r="B39" s="37" t="s">
        <v>28</v>
      </c>
      <c r="C39" s="37">
        <v>3</v>
      </c>
      <c r="D39" s="35"/>
      <c r="E39" s="5">
        <v>28373</v>
      </c>
      <c r="F39" s="5">
        <v>85000</v>
      </c>
      <c r="G39" s="6">
        <f t="shared" si="5"/>
        <v>56627</v>
      </c>
      <c r="H39" s="7">
        <f t="shared" si="6"/>
        <v>0.66620000000000001</v>
      </c>
      <c r="I39" s="6">
        <f t="shared" si="7"/>
        <v>85119</v>
      </c>
      <c r="J39" s="6">
        <f t="shared" si="8"/>
        <v>255000</v>
      </c>
      <c r="K39" s="6">
        <f t="shared" si="9"/>
        <v>169881</v>
      </c>
    </row>
    <row r="40" spans="1:11" ht="14.25" customHeight="1" x14ac:dyDescent="0.3">
      <c r="A40" s="35" t="s">
        <v>27</v>
      </c>
      <c r="B40" s="37" t="s">
        <v>18</v>
      </c>
      <c r="C40" s="37">
        <v>3</v>
      </c>
      <c r="D40" s="35"/>
      <c r="E40" s="5">
        <v>28373</v>
      </c>
      <c r="F40" s="5">
        <v>85000</v>
      </c>
      <c r="G40" s="6">
        <f t="shared" si="5"/>
        <v>56627</v>
      </c>
      <c r="H40" s="7">
        <f t="shared" si="6"/>
        <v>0.66620000000000001</v>
      </c>
      <c r="I40" s="6">
        <f t="shared" si="7"/>
        <v>85119</v>
      </c>
      <c r="J40" s="6">
        <f t="shared" si="8"/>
        <v>255000</v>
      </c>
      <c r="K40" s="6">
        <f t="shared" si="9"/>
        <v>169881</v>
      </c>
    </row>
    <row r="41" spans="1:11" ht="14.25" customHeight="1" x14ac:dyDescent="0.3">
      <c r="A41" s="39" t="s">
        <v>29</v>
      </c>
      <c r="B41" s="40" t="s">
        <v>16</v>
      </c>
      <c r="C41" s="40">
        <v>1</v>
      </c>
      <c r="D41" s="39"/>
      <c r="E41" s="5">
        <v>16000</v>
      </c>
      <c r="F41" s="5">
        <v>55000</v>
      </c>
      <c r="G41" s="6">
        <f t="shared" si="5"/>
        <v>39000</v>
      </c>
      <c r="H41" s="7">
        <f t="shared" si="6"/>
        <v>0.70909090909090911</v>
      </c>
      <c r="I41" s="6">
        <f t="shared" si="7"/>
        <v>16000</v>
      </c>
      <c r="J41" s="6">
        <f t="shared" si="8"/>
        <v>55000</v>
      </c>
      <c r="K41" s="6">
        <f t="shared" si="9"/>
        <v>39000</v>
      </c>
    </row>
    <row r="42" spans="1:11" ht="14.25" customHeight="1" x14ac:dyDescent="0.3">
      <c r="A42" s="41" t="s">
        <v>30</v>
      </c>
      <c r="B42" s="42">
        <v>28</v>
      </c>
      <c r="C42" s="42">
        <v>0</v>
      </c>
      <c r="D42" s="43" t="s">
        <v>45</v>
      </c>
      <c r="E42" s="5">
        <v>31000</v>
      </c>
      <c r="F42" s="5">
        <v>60000</v>
      </c>
      <c r="G42" s="6">
        <f t="shared" si="5"/>
        <v>29000</v>
      </c>
      <c r="H42" s="7">
        <f t="shared" si="6"/>
        <v>0.48333333333333334</v>
      </c>
      <c r="I42" s="6">
        <f t="shared" si="7"/>
        <v>0</v>
      </c>
      <c r="J42" s="6">
        <f t="shared" si="8"/>
        <v>0</v>
      </c>
      <c r="K42" s="6">
        <f t="shared" si="9"/>
        <v>0</v>
      </c>
    </row>
    <row r="43" spans="1:11" ht="14.25" customHeight="1" x14ac:dyDescent="0.3">
      <c r="A43" s="41" t="s">
        <v>30</v>
      </c>
      <c r="B43" s="42" t="s">
        <v>31</v>
      </c>
      <c r="C43" s="42">
        <v>0</v>
      </c>
      <c r="D43" s="43" t="s">
        <v>45</v>
      </c>
      <c r="E43" s="5">
        <v>31000</v>
      </c>
      <c r="F43" s="5">
        <v>60000</v>
      </c>
      <c r="G43" s="6">
        <f t="shared" si="5"/>
        <v>29000</v>
      </c>
      <c r="H43" s="7">
        <f t="shared" si="6"/>
        <v>0.48333333333333334</v>
      </c>
      <c r="I43" s="6">
        <f t="shared" si="7"/>
        <v>0</v>
      </c>
      <c r="J43" s="6">
        <f t="shared" si="8"/>
        <v>0</v>
      </c>
      <c r="K43" s="6">
        <f t="shared" si="9"/>
        <v>0</v>
      </c>
    </row>
    <row r="44" spans="1:11" ht="14.25" customHeight="1" x14ac:dyDescent="0.3">
      <c r="A44" s="41" t="s">
        <v>30</v>
      </c>
      <c r="B44" s="42" t="s">
        <v>32</v>
      </c>
      <c r="C44" s="42">
        <v>0</v>
      </c>
      <c r="D44" s="43" t="s">
        <v>45</v>
      </c>
      <c r="E44" s="5">
        <v>31000</v>
      </c>
      <c r="F44" s="5">
        <v>60000</v>
      </c>
      <c r="G44" s="6">
        <f t="shared" si="5"/>
        <v>29000</v>
      </c>
      <c r="H44" s="7">
        <f t="shared" si="6"/>
        <v>0.48333333333333334</v>
      </c>
      <c r="I44" s="6">
        <f t="shared" si="7"/>
        <v>0</v>
      </c>
      <c r="J44" s="6">
        <f t="shared" si="8"/>
        <v>0</v>
      </c>
      <c r="K44" s="6">
        <f t="shared" si="9"/>
        <v>0</v>
      </c>
    </row>
    <row r="45" spans="1:11" ht="14.25" customHeight="1" x14ac:dyDescent="0.3">
      <c r="A45" s="41" t="s">
        <v>30</v>
      </c>
      <c r="B45" s="42" t="s">
        <v>33</v>
      </c>
      <c r="C45" s="42">
        <v>0</v>
      </c>
      <c r="D45" s="43" t="s">
        <v>45</v>
      </c>
      <c r="E45" s="5">
        <v>31000</v>
      </c>
      <c r="F45" s="5">
        <v>60000</v>
      </c>
      <c r="G45" s="6">
        <f t="shared" si="5"/>
        <v>29000</v>
      </c>
      <c r="H45" s="7">
        <f t="shared" si="6"/>
        <v>0.48333333333333334</v>
      </c>
      <c r="I45" s="6">
        <f t="shared" si="7"/>
        <v>0</v>
      </c>
      <c r="J45" s="6">
        <f t="shared" si="8"/>
        <v>0</v>
      </c>
      <c r="K45" s="6">
        <f t="shared" si="9"/>
        <v>0</v>
      </c>
    </row>
    <row r="46" spans="1:11" ht="14.25" customHeight="1" x14ac:dyDescent="0.3">
      <c r="A46" s="70" t="s">
        <v>30</v>
      </c>
      <c r="B46" s="42">
        <v>34</v>
      </c>
      <c r="C46" s="78">
        <v>0</v>
      </c>
      <c r="D46" s="43" t="s">
        <v>45</v>
      </c>
      <c r="E46" s="5">
        <v>31000</v>
      </c>
      <c r="F46" s="5">
        <v>60000</v>
      </c>
      <c r="G46" s="6">
        <f t="shared" si="5"/>
        <v>29000</v>
      </c>
      <c r="H46" s="7">
        <f t="shared" si="6"/>
        <v>0.48333333333333334</v>
      </c>
      <c r="I46" s="6">
        <f t="shared" si="7"/>
        <v>0</v>
      </c>
      <c r="J46" s="6">
        <f t="shared" si="8"/>
        <v>0</v>
      </c>
      <c r="K46" s="6">
        <f t="shared" si="9"/>
        <v>0</v>
      </c>
    </row>
    <row r="47" spans="1:11" ht="14.25" customHeight="1" x14ac:dyDescent="0.3">
      <c r="A47" s="73" t="s">
        <v>34</v>
      </c>
      <c r="B47" s="44" t="s">
        <v>13</v>
      </c>
      <c r="C47" s="44">
        <v>2</v>
      </c>
      <c r="D47" s="74"/>
      <c r="E47" s="69">
        <v>25000</v>
      </c>
      <c r="F47" s="5">
        <v>60000</v>
      </c>
      <c r="G47" s="6">
        <f t="shared" si="5"/>
        <v>35000</v>
      </c>
      <c r="H47" s="7">
        <f t="shared" si="6"/>
        <v>0.58333333333333337</v>
      </c>
      <c r="I47" s="6">
        <f t="shared" si="7"/>
        <v>50000</v>
      </c>
      <c r="J47" s="6">
        <f t="shared" si="8"/>
        <v>120000</v>
      </c>
      <c r="K47" s="6">
        <f t="shared" si="9"/>
        <v>70000</v>
      </c>
    </row>
    <row r="48" spans="1:11" ht="14.25" customHeight="1" x14ac:dyDescent="0.3">
      <c r="A48" s="73" t="s">
        <v>34</v>
      </c>
      <c r="B48" s="44" t="s">
        <v>12</v>
      </c>
      <c r="C48" s="44">
        <v>2</v>
      </c>
      <c r="D48" s="45"/>
      <c r="E48" s="69">
        <v>25000</v>
      </c>
      <c r="F48" s="5">
        <v>60000</v>
      </c>
      <c r="G48" s="6">
        <f t="shared" si="5"/>
        <v>35000</v>
      </c>
      <c r="H48" s="7">
        <f t="shared" si="6"/>
        <v>0.58333333333333337</v>
      </c>
      <c r="I48" s="6">
        <f t="shared" si="7"/>
        <v>50000</v>
      </c>
      <c r="J48" s="6">
        <f t="shared" si="8"/>
        <v>120000</v>
      </c>
      <c r="K48" s="6">
        <f t="shared" si="9"/>
        <v>70000</v>
      </c>
    </row>
    <row r="49" spans="1:11" ht="14.25" customHeight="1" x14ac:dyDescent="0.3">
      <c r="A49" s="73" t="s">
        <v>34</v>
      </c>
      <c r="B49" s="44" t="s">
        <v>16</v>
      </c>
      <c r="C49" s="77">
        <v>3</v>
      </c>
      <c r="D49" s="45" t="s">
        <v>35</v>
      </c>
      <c r="E49" s="69">
        <v>25000</v>
      </c>
      <c r="F49" s="5">
        <v>60000</v>
      </c>
      <c r="G49" s="6">
        <f t="shared" si="5"/>
        <v>35000</v>
      </c>
      <c r="H49" s="7">
        <f t="shared" si="6"/>
        <v>0.58333333333333337</v>
      </c>
      <c r="I49" s="6">
        <f t="shared" si="7"/>
        <v>75000</v>
      </c>
      <c r="J49" s="6">
        <f t="shared" si="8"/>
        <v>180000</v>
      </c>
      <c r="K49" s="6">
        <f t="shared" si="9"/>
        <v>105000</v>
      </c>
    </row>
    <row r="50" spans="1:11" ht="14.25" customHeight="1" x14ac:dyDescent="0.3">
      <c r="A50" s="73" t="s">
        <v>34</v>
      </c>
      <c r="B50" s="75" t="s">
        <v>18</v>
      </c>
      <c r="C50" s="75">
        <v>2</v>
      </c>
      <c r="D50" s="76"/>
      <c r="E50" s="69">
        <v>25000</v>
      </c>
      <c r="F50" s="5">
        <v>60000</v>
      </c>
      <c r="G50" s="6">
        <f t="shared" si="5"/>
        <v>35000</v>
      </c>
      <c r="H50" s="7">
        <f>IF(AND(G50&lt;&gt;"",F50&lt;&gt;"",F50&lt;&gt;0),G50/F50,"")</f>
        <v>0.58333333333333337</v>
      </c>
      <c r="I50" s="6">
        <f>IF(AND(C50&lt;&gt;"",E50&lt;&gt;""),C50*E50,"")</f>
        <v>50000</v>
      </c>
      <c r="J50" s="6">
        <f>IF(AND(C50&lt;&gt;"",F50&lt;&gt;""),C50*F50,"")</f>
        <v>120000</v>
      </c>
      <c r="K50" s="6">
        <f>IF(AND(C50&lt;&gt;"",G50&lt;&gt;""),C50*G50,"")</f>
        <v>70000</v>
      </c>
    </row>
    <row r="51" spans="1:11" ht="14.25" customHeight="1" x14ac:dyDescent="0.3">
      <c r="A51" s="79" t="s">
        <v>44</v>
      </c>
      <c r="B51" s="80" t="s">
        <v>18</v>
      </c>
      <c r="C51" s="82">
        <v>2</v>
      </c>
      <c r="D51" s="81"/>
      <c r="E51" s="69">
        <v>20000</v>
      </c>
      <c r="F51" s="5">
        <v>60000</v>
      </c>
      <c r="G51" s="6">
        <f t="shared" si="5"/>
        <v>40000</v>
      </c>
      <c r="H51" s="7">
        <f>IF(AND(G51&lt;&gt;"",F51&lt;&gt;"",F51&lt;&gt;0),G51/F51,"")</f>
        <v>0.66666666666666663</v>
      </c>
      <c r="I51" s="6">
        <f>IF(AND(C51&lt;&gt;"",E51&lt;&gt;""),C51*E51,"")</f>
        <v>40000</v>
      </c>
      <c r="J51" s="6">
        <f>IF(AND(C51&lt;&gt;"",F51&lt;&gt;""),C51*F51,"")</f>
        <v>120000</v>
      </c>
      <c r="K51" s="6">
        <f>IF(AND(C51&lt;&gt;"",G51&lt;&gt;""),C51*G51,"")</f>
        <v>80000</v>
      </c>
    </row>
    <row r="52" spans="1:11" ht="14.25" customHeight="1" x14ac:dyDescent="0.3">
      <c r="A52" s="71" t="s">
        <v>36</v>
      </c>
      <c r="B52" s="72" t="s">
        <v>18</v>
      </c>
      <c r="C52" s="72">
        <v>2</v>
      </c>
      <c r="D52" s="71"/>
      <c r="E52" s="69">
        <v>25000</v>
      </c>
      <c r="F52" s="5">
        <v>60000</v>
      </c>
      <c r="G52" s="6">
        <f t="shared" si="5"/>
        <v>35000</v>
      </c>
      <c r="H52" s="7">
        <f t="shared" si="6"/>
        <v>0.58333333333333337</v>
      </c>
      <c r="I52" s="6">
        <f t="shared" si="7"/>
        <v>50000</v>
      </c>
      <c r="J52" s="6">
        <f t="shared" si="8"/>
        <v>120000</v>
      </c>
      <c r="K52" s="6">
        <f t="shared" si="9"/>
        <v>70000</v>
      </c>
    </row>
    <row r="53" spans="1:11" ht="14.25" customHeight="1" x14ac:dyDescent="0.3">
      <c r="A53" s="46" t="s">
        <v>36</v>
      </c>
      <c r="B53" s="48" t="s">
        <v>16</v>
      </c>
      <c r="C53" s="47">
        <v>2</v>
      </c>
      <c r="D53" s="49"/>
      <c r="E53" s="69">
        <v>25000</v>
      </c>
      <c r="F53" s="5">
        <v>60000</v>
      </c>
      <c r="G53" s="6">
        <f t="shared" si="5"/>
        <v>35000</v>
      </c>
      <c r="H53" s="7">
        <f t="shared" si="6"/>
        <v>0.58333333333333337</v>
      </c>
      <c r="I53" s="6">
        <f t="shared" si="7"/>
        <v>50000</v>
      </c>
      <c r="J53" s="6">
        <f t="shared" si="8"/>
        <v>120000</v>
      </c>
      <c r="K53" s="6">
        <f t="shared" si="9"/>
        <v>70000</v>
      </c>
    </row>
    <row r="54" spans="1:11" ht="14.25" customHeight="1" x14ac:dyDescent="0.3">
      <c r="A54" s="46" t="s">
        <v>36</v>
      </c>
      <c r="B54" s="48" t="s">
        <v>13</v>
      </c>
      <c r="C54" s="47">
        <v>1</v>
      </c>
      <c r="D54" s="49" t="s">
        <v>35</v>
      </c>
      <c r="E54" s="69">
        <v>25000</v>
      </c>
      <c r="F54" s="5">
        <v>60000</v>
      </c>
      <c r="G54" s="6">
        <f t="shared" si="5"/>
        <v>35000</v>
      </c>
      <c r="H54" s="7">
        <f t="shared" si="6"/>
        <v>0.58333333333333337</v>
      </c>
      <c r="I54" s="6">
        <f t="shared" si="7"/>
        <v>25000</v>
      </c>
      <c r="J54" s="6">
        <f t="shared" si="8"/>
        <v>60000</v>
      </c>
      <c r="K54" s="6">
        <f t="shared" si="9"/>
        <v>35000</v>
      </c>
    </row>
    <row r="55" spans="1:11" ht="14.25" customHeight="1" x14ac:dyDescent="0.3">
      <c r="A55" s="46" t="s">
        <v>36</v>
      </c>
      <c r="B55" s="47" t="s">
        <v>12</v>
      </c>
      <c r="C55" s="47">
        <v>0</v>
      </c>
      <c r="D55" s="49" t="s">
        <v>35</v>
      </c>
      <c r="E55" s="69">
        <v>25000</v>
      </c>
      <c r="G55" s="6">
        <f t="shared" ref="G55:G61" si="10">IF(AND(E55&lt;&gt;"",F56&lt;&gt;""),F56-E55,"")</f>
        <v>35000</v>
      </c>
      <c r="H55" s="7">
        <f t="shared" ref="H55:H61" si="11">IF(AND(G55&lt;&gt;"",F56&lt;&gt;"",F56&lt;&gt;0),G55/F56,"")</f>
        <v>0.58333333333333337</v>
      </c>
      <c r="I55" s="6">
        <f t="shared" si="7"/>
        <v>0</v>
      </c>
      <c r="J55" s="6">
        <f t="shared" ref="J55:J61" si="12">IF(AND(C55&lt;&gt;"",F56&lt;&gt;""),C55*F56,"")</f>
        <v>0</v>
      </c>
      <c r="K55" s="6">
        <f t="shared" si="9"/>
        <v>0</v>
      </c>
    </row>
    <row r="56" spans="1:11" ht="14.25" customHeight="1" x14ac:dyDescent="0.3">
      <c r="A56" s="50" t="s">
        <v>37</v>
      </c>
      <c r="B56" s="51">
        <v>28</v>
      </c>
      <c r="C56" s="51">
        <v>0</v>
      </c>
      <c r="D56" s="52" t="s">
        <v>35</v>
      </c>
      <c r="E56" s="5">
        <v>26000</v>
      </c>
      <c r="F56" s="5">
        <v>60000</v>
      </c>
      <c r="G56" s="6">
        <f t="shared" si="10"/>
        <v>34000</v>
      </c>
      <c r="H56" s="7">
        <f t="shared" si="11"/>
        <v>0.56666666666666665</v>
      </c>
      <c r="I56" s="6">
        <f t="shared" si="7"/>
        <v>0</v>
      </c>
      <c r="J56" s="6">
        <f t="shared" si="12"/>
        <v>0</v>
      </c>
      <c r="K56" s="6">
        <f t="shared" si="9"/>
        <v>0</v>
      </c>
    </row>
    <row r="57" spans="1:11" ht="14.25" customHeight="1" x14ac:dyDescent="0.3">
      <c r="A57" s="50" t="s">
        <v>37</v>
      </c>
      <c r="B57" s="51" t="s">
        <v>31</v>
      </c>
      <c r="C57" s="51">
        <v>1</v>
      </c>
      <c r="D57" s="52"/>
      <c r="E57" s="5">
        <v>26000</v>
      </c>
      <c r="F57" s="5">
        <v>60000</v>
      </c>
      <c r="G57" s="6">
        <f t="shared" si="10"/>
        <v>34000</v>
      </c>
      <c r="H57" s="7">
        <f t="shared" si="11"/>
        <v>0.56666666666666665</v>
      </c>
      <c r="I57" s="6">
        <f t="shared" si="7"/>
        <v>26000</v>
      </c>
      <c r="J57" s="6">
        <f t="shared" si="12"/>
        <v>60000</v>
      </c>
      <c r="K57" s="6">
        <f t="shared" si="9"/>
        <v>34000</v>
      </c>
    </row>
    <row r="58" spans="1:11" ht="14.25" customHeight="1" x14ac:dyDescent="0.3">
      <c r="A58" s="50" t="s">
        <v>37</v>
      </c>
      <c r="B58" s="51" t="s">
        <v>32</v>
      </c>
      <c r="C58" s="51">
        <v>1</v>
      </c>
      <c r="D58" s="52"/>
      <c r="E58" s="5">
        <v>26000</v>
      </c>
      <c r="F58" s="5">
        <v>60000</v>
      </c>
      <c r="G58" s="6">
        <f t="shared" si="10"/>
        <v>34000</v>
      </c>
      <c r="H58" s="7">
        <f t="shared" si="11"/>
        <v>0.56666666666666665</v>
      </c>
      <c r="I58" s="6">
        <f t="shared" si="7"/>
        <v>26000</v>
      </c>
      <c r="J58" s="6">
        <f t="shared" si="12"/>
        <v>60000</v>
      </c>
      <c r="K58" s="6">
        <f t="shared" si="9"/>
        <v>34000</v>
      </c>
    </row>
    <row r="59" spans="1:11" ht="14.25" customHeight="1" x14ac:dyDescent="0.3">
      <c r="A59" s="50" t="s">
        <v>37</v>
      </c>
      <c r="B59" s="53">
        <v>32</v>
      </c>
      <c r="C59" s="53">
        <v>0</v>
      </c>
      <c r="D59" s="52" t="s">
        <v>35</v>
      </c>
      <c r="E59" s="5">
        <v>26000</v>
      </c>
      <c r="F59" s="5">
        <v>60000</v>
      </c>
      <c r="G59" s="6">
        <f t="shared" si="10"/>
        <v>34000</v>
      </c>
      <c r="H59" s="7">
        <f t="shared" si="11"/>
        <v>0.56666666666666665</v>
      </c>
      <c r="I59" s="6">
        <f t="shared" si="7"/>
        <v>0</v>
      </c>
      <c r="J59" s="6">
        <f t="shared" si="12"/>
        <v>0</v>
      </c>
      <c r="K59" s="6">
        <f t="shared" si="9"/>
        <v>0</v>
      </c>
    </row>
    <row r="60" spans="1:11" ht="14.25" customHeight="1" x14ac:dyDescent="0.3">
      <c r="A60" s="54" t="s">
        <v>37</v>
      </c>
      <c r="B60" s="53">
        <v>34</v>
      </c>
      <c r="C60" s="53">
        <v>0</v>
      </c>
      <c r="D60" s="55" t="s">
        <v>35</v>
      </c>
      <c r="E60" s="5">
        <v>26000</v>
      </c>
      <c r="F60" s="5">
        <v>60000</v>
      </c>
      <c r="G60" s="6">
        <f t="shared" si="10"/>
        <v>34000</v>
      </c>
      <c r="H60" s="7">
        <f t="shared" si="11"/>
        <v>0.56666666666666665</v>
      </c>
      <c r="I60" s="6">
        <f t="shared" si="7"/>
        <v>0</v>
      </c>
      <c r="J60" s="6">
        <f t="shared" si="12"/>
        <v>0</v>
      </c>
      <c r="K60" s="6">
        <f t="shared" si="9"/>
        <v>0</v>
      </c>
    </row>
    <row r="61" spans="1:11" ht="14.25" customHeight="1" x14ac:dyDescent="0.3">
      <c r="A61" s="56" t="s">
        <v>38</v>
      </c>
      <c r="B61" s="57" t="s">
        <v>12</v>
      </c>
      <c r="C61" s="59">
        <v>0</v>
      </c>
      <c r="D61" s="58" t="s">
        <v>35</v>
      </c>
      <c r="E61" s="5">
        <v>25000</v>
      </c>
      <c r="F61" s="5">
        <v>60000</v>
      </c>
      <c r="G61" s="6">
        <f t="shared" si="10"/>
        <v>35000</v>
      </c>
      <c r="H61" s="7">
        <f t="shared" si="11"/>
        <v>0.58333333333333337</v>
      </c>
      <c r="I61" s="6">
        <f t="shared" si="7"/>
        <v>0</v>
      </c>
      <c r="J61" s="6">
        <f t="shared" si="12"/>
        <v>0</v>
      </c>
      <c r="K61" s="6">
        <f t="shared" si="9"/>
        <v>0</v>
      </c>
    </row>
    <row r="62" spans="1:11" ht="14.25" customHeight="1" x14ac:dyDescent="0.3">
      <c r="A62" s="56" t="s">
        <v>38</v>
      </c>
      <c r="B62" s="57" t="s">
        <v>18</v>
      </c>
      <c r="C62" s="59">
        <v>1</v>
      </c>
      <c r="D62" s="58"/>
      <c r="E62" s="5">
        <v>25000</v>
      </c>
      <c r="F62" s="5">
        <v>60000</v>
      </c>
      <c r="G62" s="6">
        <f t="shared" ref="G62:G64" si="13">IF(AND(E62&lt;&gt;"",F62&lt;&gt;""),F62-E62,"")</f>
        <v>35000</v>
      </c>
      <c r="H62" s="7">
        <f t="shared" ref="H62:H64" si="14">IF(AND(G62&lt;&gt;"",F62&lt;&gt;"",F62&lt;&gt;0),G62/F62,"")</f>
        <v>0.58333333333333337</v>
      </c>
      <c r="I62" s="6">
        <f t="shared" si="7"/>
        <v>25000</v>
      </c>
      <c r="J62" s="6">
        <f t="shared" si="8"/>
        <v>60000</v>
      </c>
      <c r="K62" s="6">
        <f t="shared" si="9"/>
        <v>35000</v>
      </c>
    </row>
    <row r="63" spans="1:11" ht="14.25" customHeight="1" x14ac:dyDescent="0.3">
      <c r="A63" s="56" t="s">
        <v>38</v>
      </c>
      <c r="B63" s="57" t="s">
        <v>16</v>
      </c>
      <c r="C63" s="59">
        <v>2</v>
      </c>
      <c r="D63" s="58"/>
      <c r="E63" s="5">
        <v>25000</v>
      </c>
      <c r="F63" s="5">
        <v>60000</v>
      </c>
      <c r="G63" s="6">
        <f t="shared" si="13"/>
        <v>35000</v>
      </c>
      <c r="H63" s="7">
        <f t="shared" si="14"/>
        <v>0.58333333333333337</v>
      </c>
      <c r="I63" s="6">
        <f t="shared" si="7"/>
        <v>50000</v>
      </c>
      <c r="J63" s="6">
        <f t="shared" si="8"/>
        <v>120000</v>
      </c>
      <c r="K63" s="6">
        <f t="shared" si="9"/>
        <v>70000</v>
      </c>
    </row>
    <row r="64" spans="1:11" ht="14.25" customHeight="1" x14ac:dyDescent="0.3">
      <c r="A64" s="56" t="s">
        <v>38</v>
      </c>
      <c r="B64" s="57" t="s">
        <v>13</v>
      </c>
      <c r="C64" s="59">
        <v>1</v>
      </c>
      <c r="D64" s="56"/>
      <c r="E64" s="5">
        <v>25000</v>
      </c>
      <c r="F64" s="5">
        <v>60000</v>
      </c>
      <c r="G64" s="6">
        <f t="shared" si="13"/>
        <v>35000</v>
      </c>
      <c r="H64" s="7">
        <f t="shared" si="14"/>
        <v>0.58333333333333337</v>
      </c>
      <c r="I64" s="6">
        <f t="shared" si="7"/>
        <v>25000</v>
      </c>
      <c r="J64" s="6">
        <f t="shared" si="8"/>
        <v>60000</v>
      </c>
      <c r="K64" s="6">
        <f t="shared" si="9"/>
        <v>35000</v>
      </c>
    </row>
    <row r="65" spans="1:11" ht="14.25" customHeight="1" x14ac:dyDescent="0.3">
      <c r="A65" s="60" t="s">
        <v>39</v>
      </c>
      <c r="B65" s="61"/>
      <c r="C65" s="62">
        <f>SUM(C2:C64)</f>
        <v>80</v>
      </c>
      <c r="D65" s="61"/>
      <c r="K65" s="63">
        <f>SUM(K2:K64)</f>
        <v>3979097</v>
      </c>
    </row>
    <row r="67" spans="1:11" x14ac:dyDescent="0.3">
      <c r="A67" s="64" t="s">
        <v>40</v>
      </c>
      <c r="I67" s="63">
        <f>SUM(I2:I64)</f>
        <v>2095903</v>
      </c>
      <c r="J67" s="63">
        <f>SUM(J2:J64)</f>
        <v>6075000</v>
      </c>
    </row>
    <row r="68" spans="1:11" x14ac:dyDescent="0.3">
      <c r="A68" s="65" t="s">
        <v>41</v>
      </c>
    </row>
  </sheetData>
  <phoneticPr fontId="10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0"/>
  <sheetViews>
    <sheetView zoomScaleNormal="100" workbookViewId="0">
      <pane ySplit="1" topLeftCell="A2" activePane="bottomLeft" state="frozen"/>
      <selection pane="bottomLeft" activeCell="D7" sqref="D7"/>
    </sheetView>
  </sheetViews>
  <sheetFormatPr baseColWidth="10" defaultColWidth="8.6640625" defaultRowHeight="14.4" x14ac:dyDescent="0.3"/>
  <cols>
    <col min="1" max="1" width="30" style="1" customWidth="1"/>
    <col min="2" max="2" width="20" style="1" customWidth="1"/>
    <col min="3" max="3" width="20" customWidth="1"/>
  </cols>
  <sheetData>
    <row r="1" spans="1:3" ht="14.25" customHeight="1" x14ac:dyDescent="0.3">
      <c r="A1" s="2" t="s">
        <v>0</v>
      </c>
      <c r="B1" s="2" t="s">
        <v>42</v>
      </c>
      <c r="C1" s="2" t="s">
        <v>10</v>
      </c>
    </row>
    <row r="2" spans="1:3" ht="14.25" customHeight="1" x14ac:dyDescent="0.3">
      <c r="A2" s="66" t="s">
        <v>11</v>
      </c>
      <c r="B2" s="67">
        <f>SUMIFS(Inventario!C2:C64,Inventario!A2:A64,A2)</f>
        <v>7</v>
      </c>
      <c r="C2" s="6">
        <f>SUMIFS(Inventario!$K$2:$K$64,Inventario!$A$2:$A$64,A2)</f>
        <v>245000</v>
      </c>
    </row>
    <row r="3" spans="1:3" ht="14.25" customHeight="1" x14ac:dyDescent="0.3">
      <c r="A3" s="66" t="s">
        <v>17</v>
      </c>
      <c r="B3" s="67">
        <f>SUMIFS(Inventario!C2:C64,Inventario!A2:A64,A3)</f>
        <v>12</v>
      </c>
      <c r="C3" s="6">
        <f>SUMIFS(Inventario!$K$2:$K$64,Inventario!$A$2:$A$64,A3)</f>
        <v>420000</v>
      </c>
    </row>
    <row r="4" spans="1:3" ht="14.25" customHeight="1" x14ac:dyDescent="0.3">
      <c r="A4" s="66" t="s">
        <v>19</v>
      </c>
      <c r="B4" s="67">
        <f>SUMIFS(Inventario!C2:C64,Inventario!A2:A64,A4)</f>
        <v>3</v>
      </c>
      <c r="C4" s="6">
        <f>SUMIFS(Inventario!$K$2:$K$64,Inventario!$A$2:$A$64,A4)</f>
        <v>225000</v>
      </c>
    </row>
    <row r="5" spans="1:3" ht="14.25" customHeight="1" x14ac:dyDescent="0.3">
      <c r="A5" s="66" t="s">
        <v>20</v>
      </c>
      <c r="B5" s="67">
        <f>SUMIFS(Inventario!C2:C64,Inventario!A2:A64,A5)</f>
        <v>2</v>
      </c>
      <c r="C5" s="6">
        <f>SUMIFS(Inventario!$K$2:$K$64,Inventario!$A$2:$A$64,A5)</f>
        <v>104200</v>
      </c>
    </row>
    <row r="6" spans="1:3" ht="14.25" customHeight="1" x14ac:dyDescent="0.3">
      <c r="A6" s="66" t="s">
        <v>44</v>
      </c>
      <c r="B6" s="67">
        <f>SUMIFS(Inventario!C3:C65,Inventario!A3:A65,A6)</f>
        <v>2</v>
      </c>
      <c r="C6" s="6">
        <f>SUMIFS(Inventario!$K$2:$K$64,Inventario!$A$2:$A$64,A6)</f>
        <v>80000</v>
      </c>
    </row>
    <row r="7" spans="1:3" ht="14.25" customHeight="1" x14ac:dyDescent="0.3">
      <c r="A7" s="66" t="s">
        <v>21</v>
      </c>
      <c r="B7" s="67">
        <f>SUMIFS(Inventario!C2:C64,Inventario!A2:A64,A7)</f>
        <v>4</v>
      </c>
      <c r="C7" s="6">
        <f>SUMIFS(Inventario!$K$2:$K$64,Inventario!$A$2:$A$64,A7)</f>
        <v>300000</v>
      </c>
    </row>
    <row r="8" spans="1:3" ht="14.25" customHeight="1" x14ac:dyDescent="0.3">
      <c r="A8" s="66" t="s">
        <v>22</v>
      </c>
      <c r="B8" s="67">
        <f>SUMIFS(Inventario!C2:C64,Inventario!A2:A64,A8)</f>
        <v>2</v>
      </c>
      <c r="C8" s="6">
        <f>SUMIFS(Inventario!$K$2:$K$64,Inventario!$A$2:$A$64,A8)</f>
        <v>110000</v>
      </c>
    </row>
    <row r="9" spans="1:3" ht="14.25" customHeight="1" x14ac:dyDescent="0.3">
      <c r="A9" s="66" t="s">
        <v>23</v>
      </c>
      <c r="B9" s="67">
        <f>SUMIFS(Inventario!C2:C64,Inventario!A2:A64,A9)</f>
        <v>3</v>
      </c>
      <c r="C9" s="6">
        <f>SUMIFS(Inventario!$K$2:$K$64,Inventario!$A$2:$A$64,A9)</f>
        <v>225000</v>
      </c>
    </row>
    <row r="10" spans="1:3" ht="14.25" customHeight="1" x14ac:dyDescent="0.3">
      <c r="A10" s="66" t="s">
        <v>24</v>
      </c>
      <c r="B10" s="67">
        <f>SUMIFS(Inventario!C2:C64,Inventario!A2:A64,A10)</f>
        <v>2</v>
      </c>
      <c r="C10" s="6">
        <f>SUMIFS(Inventario!$K$2:$K$64,Inventario!$A$2:$A$64,A10)</f>
        <v>110000</v>
      </c>
    </row>
    <row r="11" spans="1:3" ht="14.25" customHeight="1" x14ac:dyDescent="0.3">
      <c r="A11" s="66" t="s">
        <v>25</v>
      </c>
      <c r="B11" s="67">
        <f>SUMIFS(Inventario!C2:C64,Inventario!A2:A64,A11)</f>
        <v>10</v>
      </c>
      <c r="C11" s="6">
        <f>SUMIFS(Inventario!$K$2:$K$64,Inventario!$A$2:$A$64,A11)</f>
        <v>750000</v>
      </c>
    </row>
    <row r="12" spans="1:3" ht="14.25" customHeight="1" x14ac:dyDescent="0.3">
      <c r="A12" s="66" t="s">
        <v>26</v>
      </c>
      <c r="B12" s="67">
        <f>SUMIFS(Inventario!C2:C64,Inventario!A2:A64,A12)</f>
        <v>1</v>
      </c>
      <c r="C12" s="6">
        <f>SUMIFS(Inventario!$K$2:$K$64,Inventario!$A$2:$A$64,A12)</f>
        <v>50000</v>
      </c>
    </row>
    <row r="13" spans="1:3" ht="14.25" customHeight="1" x14ac:dyDescent="0.3">
      <c r="A13" s="66" t="s">
        <v>27</v>
      </c>
      <c r="B13" s="67">
        <f>SUMIFS(Inventario!C2:C64,Inventario!A2:A64,A13)</f>
        <v>11</v>
      </c>
      <c r="C13" s="6">
        <f>SUMIFS(Inventario!$K$2:$K$64,Inventario!$A$2:$A$64,A13)</f>
        <v>622897</v>
      </c>
    </row>
    <row r="14" spans="1:3" ht="14.25" customHeight="1" x14ac:dyDescent="0.3">
      <c r="A14" s="66" t="s">
        <v>29</v>
      </c>
      <c r="B14" s="67">
        <f>SUMIFS(Inventario!C2:C64,Inventario!A2:A64,A14)</f>
        <v>1</v>
      </c>
      <c r="C14" s="6">
        <f>SUMIFS(Inventario!$K$2:$K$64,Inventario!$A$2:$A$64,A14)</f>
        <v>39000</v>
      </c>
    </row>
    <row r="15" spans="1:3" ht="14.25" customHeight="1" x14ac:dyDescent="0.3">
      <c r="A15" s="66" t="s">
        <v>30</v>
      </c>
      <c r="B15" s="67">
        <f>SUMIFS(Inventario!C2:C64,Inventario!A2:A64,A15)</f>
        <v>0</v>
      </c>
      <c r="C15" s="6">
        <f>SUMIFS(Inventario!$K$2:$K$64,Inventario!$A$2:$A$64,A15)</f>
        <v>0</v>
      </c>
    </row>
    <row r="16" spans="1:3" ht="14.25" customHeight="1" x14ac:dyDescent="0.3">
      <c r="A16" s="66" t="s">
        <v>34</v>
      </c>
      <c r="B16" s="67">
        <f>SUMIFS(Inventario!C2:C64,Inventario!A2:A64,A16)</f>
        <v>9</v>
      </c>
      <c r="C16" s="6">
        <f>SUMIFS(Inventario!$K$2:$K$64,Inventario!$A$2:$A$64,A16)</f>
        <v>315000</v>
      </c>
    </row>
    <row r="17" spans="1:3" ht="14.25" customHeight="1" x14ac:dyDescent="0.3">
      <c r="A17" s="66" t="s">
        <v>36</v>
      </c>
      <c r="B17" s="67">
        <f>SUMIFS(Inventario!C2:C64,Inventario!A2:A64,A17)</f>
        <v>5</v>
      </c>
      <c r="C17" s="6">
        <f>SUMIFS(Inventario!$K$2:$K$64,Inventario!$A$2:$A$64,A17)</f>
        <v>175000</v>
      </c>
    </row>
    <row r="18" spans="1:3" ht="14.25" customHeight="1" x14ac:dyDescent="0.3">
      <c r="A18" s="66" t="s">
        <v>37</v>
      </c>
      <c r="B18" s="67">
        <f>SUMIFS(Inventario!C2:C64,Inventario!A2:A64,A18)</f>
        <v>2</v>
      </c>
      <c r="C18" s="6">
        <f>SUMIFS(Inventario!$K$2:$K$64,Inventario!$A$2:$A$64,A18)</f>
        <v>68000</v>
      </c>
    </row>
    <row r="19" spans="1:3" ht="14.25" customHeight="1" x14ac:dyDescent="0.3">
      <c r="A19" s="66" t="s">
        <v>38</v>
      </c>
      <c r="B19" s="67">
        <f>SUMIFS(Inventario!C2:C64,Inventario!A2:A64,A19)</f>
        <v>4</v>
      </c>
      <c r="C19" s="6">
        <f>SUMIFS(Inventario!$K$2:$K$64,Inventario!$A$2:$A$64,A19)</f>
        <v>140000</v>
      </c>
    </row>
    <row r="20" spans="1:3" ht="14.25" customHeight="1" x14ac:dyDescent="0.3">
      <c r="A20" s="60" t="s">
        <v>39</v>
      </c>
      <c r="B20" s="62">
        <f>SUM(B2:B19)</f>
        <v>80</v>
      </c>
      <c r="C20" s="68">
        <f>SUM(C2:C19)</f>
        <v>3979097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Resumen por producto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Osmar Daniel Ortiz Miranda</cp:lastModifiedBy>
  <cp:revision>0</cp:revision>
  <dcterms:created xsi:type="dcterms:W3CDTF">2026-09-13T15:16:35Z</dcterms:created>
  <dcterms:modified xsi:type="dcterms:W3CDTF">2026-09-20T02:51:07Z</dcterms:modified>
  <dc:language>en-US</dc:language>
</cp:coreProperties>
</file>